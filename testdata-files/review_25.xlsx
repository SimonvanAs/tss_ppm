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28680" yWindow="-120" windowWidth="29040" windowHeight="15720" tabRatio="600" firstSheet="0" activeTab="0" autoFilterDateGrouping="1"/>
  </bookViews>
  <sheets>
    <sheet xmlns:r="http://schemas.openxmlformats.org/officeDocument/2006/relationships" name="IDE-D" sheetId="1" state="visible" r:id="rId1"/>
    <sheet xmlns:r="http://schemas.openxmlformats.org/officeDocument/2006/relationships" name="scores" sheetId="2" state="hidden" r:id="rId2"/>
  </sheets>
  <definedNames>
    <definedName name="doelstelling1">#REF!</definedName>
    <definedName name="ScoreWatAs">scores!$A$18:$A$21</definedName>
    <definedName name="UitwerkingKernWScores">#REF!,#REF!,#REF!,#REF!,#REF!,#REF!</definedName>
  </definedNames>
  <calcPr calcId="191028" fullCalcOnLoad="1"/>
</workbook>
</file>

<file path=xl/styles.xml><?xml version="1.0" encoding="utf-8"?>
<styleSheet xmlns="http://schemas.openxmlformats.org/spreadsheetml/2006/main">
  <numFmts count="1">
    <numFmt numFmtId="164" formatCode="0.0"/>
  </numFmts>
  <fonts count="49">
    <font>
      <name val="Calibri"/>
      <family val="2"/>
      <color theme="1"/>
      <sz val="11"/>
      <scheme val="minor"/>
    </font>
    <font>
      <name val="Calibri"/>
      <family val="2"/>
      <color indexed="14"/>
      <sz val="11"/>
    </font>
    <font>
      <name val="Verdana"/>
      <family val="2"/>
      <b val="1"/>
      <color theme="1"/>
      <sz val="9"/>
    </font>
    <font>
      <name val="Verdana"/>
      <family val="2"/>
      <color theme="1"/>
      <sz val="9"/>
    </font>
    <font>
      <name val="Verdana"/>
      <family val="2"/>
      <b val="1"/>
      <i val="1"/>
      <color theme="1"/>
      <sz val="9"/>
    </font>
    <font>
      <name val="Calibri"/>
      <family val="2"/>
      <color theme="1"/>
      <sz val="11"/>
      <scheme val="minor"/>
    </font>
    <font>
      <name val="Calibri"/>
      <family val="2"/>
      <color theme="0"/>
      <sz val="11"/>
      <scheme val="minor"/>
    </font>
    <font>
      <name val="Arial"/>
      <family val="2"/>
      <sz val="10"/>
    </font>
    <font>
      <name val="Times New Roman"/>
      <family val="1"/>
      <color rgb="FF000000"/>
      <sz val="10"/>
    </font>
    <font>
      <name val="Times New Roman"/>
      <family val="1"/>
      <color rgb="FF000000"/>
      <sz val="10"/>
    </font>
    <font>
      <name val="Verdana"/>
      <family val="2"/>
      <b val="1"/>
      <color rgb="FFE20070"/>
      <sz val="9"/>
    </font>
    <font>
      <name val="Verdana"/>
      <family val="2"/>
      <color rgb="FFE20070"/>
      <sz val="9"/>
    </font>
    <font>
      <name val="Verdana"/>
      <family val="2"/>
      <b val="1"/>
      <sz val="9"/>
    </font>
    <font>
      <name val="Verdana"/>
      <family val="2"/>
      <color rgb="FFFF0000"/>
      <sz val="9"/>
    </font>
    <font>
      <name val="Verdana"/>
      <family val="2"/>
      <sz val="9"/>
    </font>
    <font>
      <name val="Verdana"/>
      <family val="2"/>
      <color theme="0"/>
      <sz val="9"/>
    </font>
    <font>
      <name val="Calibri"/>
      <family val="2"/>
      <b val="1"/>
      <color theme="3"/>
      <sz val="13"/>
      <scheme val="minor"/>
    </font>
    <font>
      <name val="Calibri"/>
      <family val="2"/>
      <b val="1"/>
      <color theme="1"/>
      <sz val="11"/>
      <scheme val="minor"/>
    </font>
    <font>
      <name val="Calibri"/>
      <family val="2"/>
      <sz val="11"/>
      <scheme val="minor"/>
    </font>
    <font>
      <name val="Calibri"/>
      <family val="2"/>
      <b val="1"/>
      <i val="1"/>
      <color theme="1"/>
      <sz val="11"/>
      <scheme val="minor"/>
    </font>
    <font>
      <name val="Calibri"/>
      <family val="2"/>
      <b val="1"/>
      <sz val="11"/>
      <scheme val="minor"/>
    </font>
    <font>
      <name val="Calibri"/>
      <family val="2"/>
      <color theme="3" tint="0.7999816888943144"/>
      <sz val="11"/>
      <scheme val="minor"/>
    </font>
    <font>
      <name val="Calibri"/>
      <family val="2"/>
      <i val="1"/>
      <color theme="1"/>
      <sz val="11"/>
      <scheme val="minor"/>
    </font>
    <font>
      <name val="Verdana"/>
      <family val="2"/>
      <i val="1"/>
      <color theme="3"/>
      <sz val="9"/>
    </font>
    <font>
      <name val="Verdana"/>
      <family val="2"/>
      <color theme="1"/>
      <sz val="24"/>
    </font>
    <font>
      <name val="Verdana"/>
      <family val="2"/>
      <color theme="0"/>
      <sz val="24"/>
    </font>
    <font>
      <name val="Verdana"/>
      <family val="2"/>
      <b val="1"/>
      <color theme="0"/>
      <sz val="24"/>
    </font>
    <font>
      <name val="Calibri"/>
      <family val="2"/>
      <color theme="1"/>
      <sz val="16"/>
      <scheme val="minor"/>
    </font>
    <font>
      <name val="Verdana"/>
      <family val="2"/>
      <sz val="18"/>
    </font>
    <font>
      <name val="Verdana"/>
      <family val="2"/>
      <color theme="3"/>
      <sz val="9"/>
    </font>
    <font>
      <name val="Verdana"/>
      <family val="2"/>
      <b val="1"/>
      <color theme="3"/>
      <sz val="9"/>
    </font>
    <font>
      <name val="Verdana"/>
      <family val="2"/>
      <b val="1"/>
      <color rgb="FFE20070"/>
      <sz val="16"/>
    </font>
    <font>
      <name val="Calibri"/>
      <family val="2"/>
      <b val="1"/>
      <sz val="16"/>
      <scheme val="minor"/>
    </font>
    <font>
      <name val="Calibri"/>
      <family val="2"/>
      <color theme="3"/>
      <sz val="13"/>
      <scheme val="minor"/>
    </font>
    <font>
      <name val="Calibri"/>
      <family val="2"/>
      <sz val="8"/>
      <scheme val="minor"/>
    </font>
    <font>
      <name val="Verdana"/>
      <family val="2"/>
      <color theme="0"/>
      <sz val="18"/>
    </font>
    <font>
      <name val="Calibri"/>
      <family val="2"/>
      <i val="1"/>
      <color theme="3"/>
      <sz val="11"/>
      <scheme val="minor"/>
    </font>
    <font>
      <name val="Calibri"/>
      <family val="2"/>
      <i val="1"/>
      <sz val="9"/>
      <scheme val="minor"/>
    </font>
    <font>
      <name val="Verdana"/>
      <family val="2"/>
      <color theme="1"/>
      <sz val="16"/>
    </font>
    <font>
      <name val="Calibri"/>
      <family val="2"/>
      <b val="1"/>
      <color theme="1"/>
      <sz val="16"/>
      <scheme val="minor"/>
    </font>
    <font>
      <name val="Calibri"/>
      <family val="2"/>
      <i val="1"/>
      <sz val="14"/>
      <scheme val="minor"/>
    </font>
    <font>
      <name val="Calibri"/>
      <family val="2"/>
      <b val="1"/>
      <sz val="14"/>
      <scheme val="minor"/>
    </font>
    <font>
      <name val="Calibri"/>
      <family val="2"/>
      <color theme="0"/>
      <sz val="16"/>
      <scheme val="minor"/>
    </font>
    <font>
      <name val="Calibri"/>
      <family val="2"/>
      <b val="1"/>
      <i val="1"/>
      <color theme="1"/>
      <sz val="12"/>
      <scheme val="minor"/>
    </font>
    <font>
      <name val="Verdana"/>
      <family val="2"/>
      <b val="1"/>
      <color rgb="FFE20070"/>
      <sz val="12"/>
    </font>
    <font>
      <name val="Calibri"/>
      <family val="2"/>
      <i val="1"/>
      <color rgb="FFC00000"/>
      <sz val="12"/>
      <scheme val="minor"/>
    </font>
    <font>
      <name val="Calibri"/>
      <family val="2"/>
      <i val="1"/>
      <color rgb="FFC00000"/>
      <sz val="10"/>
      <scheme val="minor"/>
    </font>
    <font>
      <name val="Calibri"/>
      <family val="2"/>
      <b val="1"/>
      <color theme="0"/>
      <sz val="16"/>
      <scheme val="minor"/>
    </font>
    <font>
      <name val="Verdana"/>
      <family val="2"/>
      <color theme="0" tint="-0.3499862666707358"/>
      <sz val="9"/>
    </font>
  </fonts>
  <fills count="14">
    <fill>
      <patternFill/>
    </fill>
    <fill>
      <patternFill patternType="gray125"/>
    </fill>
    <fill>
      <patternFill patternType="solid">
        <fgColor theme="0"/>
        <bgColor indexed="64"/>
      </patternFill>
    </fill>
    <fill>
      <patternFill patternType="lightUp">
        <fgColor theme="0"/>
        <bgColor theme="0"/>
      </patternFill>
    </fill>
    <fill>
      <patternFill patternType="solid">
        <fgColor theme="4" tint="0.7999816888943144"/>
        <bgColor indexed="65"/>
      </patternFill>
    </fill>
    <fill>
      <patternFill patternType="solid">
        <fgColor theme="4" tint="0.5999938962981048"/>
        <bgColor indexed="65"/>
      </patternFill>
    </fill>
    <fill>
      <patternFill patternType="solid">
        <fgColor rgb="FF002060"/>
        <bgColor indexed="64"/>
      </patternFill>
    </fill>
    <fill>
      <patternFill patternType="solid">
        <fgColor theme="0" tint="-0.0499893185216834"/>
        <bgColor indexed="64"/>
      </patternFill>
    </fill>
    <fill>
      <patternFill patternType="solid">
        <fgColor theme="4" tint="0.7999816888943144"/>
        <bgColor indexed="64"/>
      </patternFill>
    </fill>
    <fill>
      <patternFill patternType="solid">
        <fgColor theme="0" tint="-0.1499984740745262"/>
        <bgColor indexed="64"/>
      </patternFill>
    </fill>
    <fill>
      <patternFill patternType="solid">
        <fgColor theme="4" tint="0.3999755851924192"/>
        <bgColor indexed="64"/>
      </patternFill>
    </fill>
    <fill>
      <patternFill patternType="solid">
        <fgColor theme="3"/>
        <bgColor indexed="64"/>
      </patternFill>
    </fill>
    <fill>
      <patternFill patternType="solid">
        <fgColor theme="6" tint="0.7999816888943144"/>
        <bgColor indexed="64"/>
      </patternFill>
    </fill>
    <fill>
      <patternFill patternType="solid">
        <fgColor theme="4"/>
        <bgColor indexed="64"/>
      </patternFill>
    </fill>
  </fills>
  <borders count="115">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bottom style="medium">
        <color indexed="64"/>
      </bottom>
      <diagonal/>
    </border>
    <border>
      <left/>
      <right/>
      <top style="medium">
        <color indexed="64"/>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top style="dotted">
        <color rgb="FF968C6D"/>
      </top>
      <bottom style="dotted">
        <color rgb="FF968C6D"/>
      </bottom>
      <diagonal/>
    </border>
    <border>
      <left/>
      <right/>
      <top style="dotted">
        <color rgb="FF968C6D"/>
      </top>
      <bottom/>
      <diagonal/>
    </border>
    <border>
      <left/>
      <right/>
      <top style="medium">
        <color rgb="FF968C6D"/>
      </top>
      <bottom style="dotted">
        <color rgb="FF968C6D"/>
      </bottom>
      <diagonal/>
    </border>
    <border>
      <left/>
      <right/>
      <top/>
      <bottom style="dotted">
        <color rgb="FF968C6D"/>
      </bottom>
      <diagonal/>
    </border>
    <border>
      <left/>
      <right/>
      <top style="medium">
        <color rgb="FF968C6D"/>
      </top>
      <bottom/>
      <diagonal/>
    </border>
    <border>
      <left style="thin">
        <color indexed="64"/>
      </left>
      <right style="thin">
        <color indexed="64"/>
      </right>
      <top/>
      <bottom/>
      <diagonal/>
    </border>
    <border>
      <left/>
      <right/>
      <top/>
      <bottom style="thick">
        <color theme="4" tint="0.499984740745262"/>
      </bottom>
      <diagonal/>
    </border>
    <border>
      <left/>
      <right/>
      <top style="thin">
        <color indexed="64"/>
      </top>
      <bottom style="thin">
        <color indexed="64"/>
      </bottom>
      <diagonal/>
    </border>
    <border>
      <left/>
      <right/>
      <top style="thick">
        <color theme="4" tint="0.499984740745262"/>
      </top>
      <bottom style="thick">
        <color theme="4" tint="0.499984740745262"/>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0" tint="-0.1499679555650502"/>
      </left>
      <right style="thin">
        <color theme="0" tint="-0.1499679555650502"/>
      </right>
      <top style="thin">
        <color theme="0" tint="-0.1499679555650502"/>
      </top>
      <bottom style="thin">
        <color theme="0" tint="-0.1499679555650502"/>
      </bottom>
      <diagonal/>
    </border>
    <border>
      <left style="thin">
        <color theme="0" tint="-0.1499374370555742"/>
      </left>
      <right style="thin">
        <color theme="0" tint="-0.1499374370555742"/>
      </right>
      <top style="thin">
        <color theme="0" tint="-0.1499374370555742"/>
      </top>
      <bottom style="thin">
        <color theme="0" tint="-0.1499374370555742"/>
      </bottom>
      <diagonal/>
    </border>
    <border>
      <left/>
      <right/>
      <top style="thin">
        <color theme="0" tint="-0.1499374370555742"/>
      </top>
      <bottom style="thin">
        <color theme="0" tint="-0.1499374370555742"/>
      </bottom>
      <diagonal/>
    </border>
    <border>
      <left/>
      <right style="thin">
        <color theme="0" tint="-0.1499374370555742"/>
      </right>
      <top style="thin">
        <color theme="0" tint="-0.1499374370555742"/>
      </top>
      <bottom style="thin">
        <color theme="0" tint="-0.1499374370555742"/>
      </bottom>
      <diagonal/>
    </border>
    <border>
      <left style="thin">
        <color theme="0" tint="-0.1499069185460982"/>
      </left>
      <right style="thin">
        <color theme="0" tint="-0.1499069185460982"/>
      </right>
      <top style="thin">
        <color theme="0" tint="-0.1499069185460982"/>
      </top>
      <bottom style="thin">
        <color theme="0" tint="-0.1499069185460982"/>
      </bottom>
      <diagonal/>
    </border>
    <border>
      <left/>
      <right/>
      <top style="thin">
        <color theme="0" tint="-0.1499374370555742"/>
      </top>
      <bottom/>
      <diagonal/>
    </border>
    <border>
      <left style="thin">
        <color theme="0" tint="-0.1499069185460982"/>
      </left>
      <right style="thin">
        <color theme="0" tint="-0.1499069185460982"/>
      </right>
      <top style="thin">
        <color theme="0" tint="-0.1499069185460982"/>
      </top>
      <bottom/>
      <diagonal/>
    </border>
    <border>
      <left/>
      <right/>
      <top/>
      <bottom style="thin">
        <color theme="0" tint="-0.1499374370555742"/>
      </bottom>
      <diagonal/>
    </border>
    <border>
      <left style="thin">
        <color theme="0" tint="-0.1499069185460982"/>
      </left>
      <right style="thin">
        <color theme="0" tint="-0.1499069185460982"/>
      </right>
      <top/>
      <bottom style="thin">
        <color theme="0" tint="-0.1499069185460982"/>
      </bottom>
      <diagonal/>
    </border>
    <border>
      <left/>
      <right/>
      <top style="dotted">
        <color auto="1"/>
      </top>
      <bottom style="dotted">
        <color auto="1"/>
      </bottom>
      <diagonal/>
    </border>
    <border>
      <left style="thin">
        <color indexed="64"/>
      </left>
      <right style="thin">
        <color indexed="64"/>
      </right>
      <top style="dotted">
        <color indexed="64"/>
      </top>
      <bottom style="dotted">
        <color indexed="64"/>
      </bottom>
      <diagonal/>
    </border>
    <border>
      <left style="thin">
        <color theme="0" tint="-0.1499679555650502"/>
      </left>
      <right style="thin">
        <color theme="0" tint="-0.1499679555650502"/>
      </right>
      <top/>
      <bottom style="thin">
        <color theme="0" tint="-0.1499679555650502"/>
      </bottom>
      <diagonal/>
    </border>
    <border>
      <left style="thin">
        <color theme="0" tint="-0.1499679555650502"/>
      </left>
      <right style="thin">
        <color theme="0" tint="-0.1499679555650502"/>
      </right>
      <top style="thin">
        <color theme="0" tint="-0.1499679555650502"/>
      </top>
      <bottom/>
      <diagonal/>
    </border>
    <border>
      <left/>
      <right style="thin">
        <color theme="0" tint="-0.1499374370555742"/>
      </right>
      <top style="dotted">
        <color auto="1"/>
      </top>
      <bottom style="dotted">
        <color auto="1"/>
      </bottom>
      <diagonal/>
    </border>
    <border>
      <left style="thin">
        <color theme="0" tint="-0.1499374370555742"/>
      </left>
      <right style="thin">
        <color theme="0" tint="-0.1499374370555742"/>
      </right>
      <top style="dotted">
        <color auto="1"/>
      </top>
      <bottom style="dotted">
        <color auto="1"/>
      </bottom>
      <diagonal/>
    </border>
    <border>
      <left style="thin">
        <color theme="0" tint="-0.1499374370555742"/>
      </left>
      <right style="thin">
        <color theme="0" tint="-0.1499374370555742"/>
      </right>
      <top/>
      <bottom style="thin">
        <color theme="0" tint="-0.1499374370555742"/>
      </bottom>
      <diagonal/>
    </border>
    <border>
      <left style="thin">
        <color theme="0" tint="-0.1499374370555742"/>
      </left>
      <right style="thin">
        <color theme="0" tint="-0.1499374370555742"/>
      </right>
      <top style="thin">
        <color theme="0" tint="-0.1499374370555742"/>
      </top>
      <bottom/>
      <diagonal/>
    </border>
    <border>
      <left/>
      <right/>
      <top style="thin">
        <color indexed="64"/>
      </top>
      <bottom style="thin">
        <color theme="0" tint="-0.1499374370555742"/>
      </bottom>
      <diagonal/>
    </border>
    <border>
      <left/>
      <right style="thin">
        <color indexed="64"/>
      </right>
      <top style="thin">
        <color indexed="64"/>
      </top>
      <bottom style="thin">
        <color theme="0" tint="-0.1499374370555742"/>
      </bottom>
      <diagonal/>
    </border>
    <border>
      <left style="thin">
        <color theme="0" tint="-0.1498764000366222"/>
      </left>
      <right style="thin">
        <color indexed="64"/>
      </right>
      <top style="thin">
        <color indexed="64"/>
      </top>
      <bottom style="thin">
        <color theme="0" tint="-0.1498764000366222"/>
      </bottom>
      <diagonal/>
    </border>
    <border>
      <left style="thin">
        <color theme="0" tint="-0.1498764000366222"/>
      </left>
      <right style="thin">
        <color theme="0" tint="-0.1498764000366222"/>
      </right>
      <top style="thin">
        <color indexed="64"/>
      </top>
      <bottom style="thin">
        <color theme="0" tint="-0.1498764000366222"/>
      </bottom>
      <diagonal/>
    </border>
    <border>
      <left/>
      <right style="thin">
        <color theme="0" tint="-0.1499069185460982"/>
      </right>
      <top/>
      <bottom style="thin">
        <color theme="0" tint="-0.1499069185460982"/>
      </bottom>
      <diagonal/>
    </border>
    <border>
      <left/>
      <right style="thin">
        <color theme="0" tint="-0.1499069185460982"/>
      </right>
      <top style="thin">
        <color theme="0" tint="-0.1499069185460982"/>
      </top>
      <bottom style="thin">
        <color theme="0" tint="-0.1499069185460982"/>
      </bottom>
      <diagonal/>
    </border>
    <border>
      <left/>
      <right style="thin">
        <color theme="0" tint="-0.1499069185460982"/>
      </right>
      <top style="thin">
        <color theme="0" tint="-0.1499069185460982"/>
      </top>
      <bottom/>
      <diagonal/>
    </border>
    <border>
      <left/>
      <right style="thin">
        <color theme="0" tint="-0.1499679555650502"/>
      </right>
      <top/>
      <bottom style="thin">
        <color theme="0" tint="-0.1499679555650502"/>
      </bottom>
      <diagonal/>
    </border>
    <border>
      <left/>
      <right style="thin">
        <color theme="0" tint="-0.1499679555650502"/>
      </right>
      <top style="thin">
        <color theme="0" tint="-0.1499679555650502"/>
      </top>
      <bottom style="thin">
        <color theme="0" tint="-0.1499679555650502"/>
      </bottom>
      <diagonal/>
    </border>
    <border>
      <left/>
      <right style="thin">
        <color theme="0" tint="-0.1499679555650502"/>
      </right>
      <top style="thin">
        <color theme="0" tint="-0.1499679555650502"/>
      </top>
      <bottom/>
      <diagonal/>
    </border>
    <border>
      <left/>
      <right style="thin">
        <color theme="0" tint="-0.1499374370555742"/>
      </right>
      <top/>
      <bottom style="thin">
        <color theme="0" tint="-0.1499374370555742"/>
      </bottom>
      <diagonal/>
    </border>
    <border>
      <left/>
      <right style="thin">
        <color theme="0" tint="-0.1499374370555742"/>
      </right>
      <top style="thin">
        <color theme="0" tint="-0.1499374370555742"/>
      </top>
      <bottom/>
      <diagonal/>
    </border>
    <border>
      <left/>
      <right style="thin">
        <color indexed="64"/>
      </right>
      <top style="dotted">
        <color auto="1"/>
      </top>
      <bottom style="dotted">
        <color auto="1"/>
      </bottom>
      <diagonal/>
    </border>
    <border>
      <left/>
      <right style="thin">
        <color indexed="64"/>
      </right>
      <top/>
      <bottom style="thin">
        <color theme="0" tint="-0.1499374370555742"/>
      </bottom>
      <diagonal/>
    </border>
    <border>
      <left/>
      <right style="thin">
        <color indexed="64"/>
      </right>
      <top style="thin">
        <color theme="0" tint="-0.1499374370555742"/>
      </top>
      <bottom style="thin">
        <color theme="0" tint="-0.1499374370555742"/>
      </bottom>
      <diagonal/>
    </border>
    <border>
      <left/>
      <right style="thin">
        <color indexed="64"/>
      </right>
      <top style="thin">
        <color theme="0" tint="-0.1499374370555742"/>
      </top>
      <bottom/>
      <diagonal/>
    </border>
    <border>
      <left style="thin">
        <color theme="0" tint="-0.1499679555650502"/>
      </left>
      <right style="thin">
        <color indexed="64"/>
      </right>
      <top/>
      <bottom style="thin">
        <color theme="0" tint="-0.1499679555650502"/>
      </bottom>
      <diagonal/>
    </border>
    <border>
      <left style="thin">
        <color theme="0" tint="-0.1499679555650502"/>
      </left>
      <right style="thin">
        <color indexed="64"/>
      </right>
      <top style="thin">
        <color theme="0" tint="-0.1499679555650502"/>
      </top>
      <bottom style="thin">
        <color theme="0" tint="-0.1499679555650502"/>
      </bottom>
      <diagonal/>
    </border>
    <border>
      <left style="thin">
        <color theme="0" tint="-0.1499679555650502"/>
      </left>
      <right style="thin">
        <color indexed="64"/>
      </right>
      <top style="thin">
        <color theme="0" tint="-0.1499679555650502"/>
      </top>
      <bottom/>
      <diagonal/>
    </border>
    <border>
      <left style="thin">
        <color theme="0" tint="-0.1499374370555742"/>
      </left>
      <right style="thin">
        <color indexed="64"/>
      </right>
      <top style="dotted">
        <color auto="1"/>
      </top>
      <bottom style="dotted">
        <color auto="1"/>
      </bottom>
      <diagonal/>
    </border>
    <border>
      <left style="thin">
        <color theme="0" tint="-0.1499374370555742"/>
      </left>
      <right style="thin">
        <color indexed="64"/>
      </right>
      <top/>
      <bottom style="thin">
        <color theme="0" tint="-0.1499374370555742"/>
      </bottom>
      <diagonal/>
    </border>
    <border>
      <left style="thin">
        <color theme="0" tint="-0.1499374370555742"/>
      </left>
      <right style="thin">
        <color indexed="64"/>
      </right>
      <top style="thin">
        <color theme="0" tint="-0.1499374370555742"/>
      </top>
      <bottom style="thin">
        <color theme="0" tint="-0.1499374370555742"/>
      </bottom>
      <diagonal/>
    </border>
    <border>
      <left style="thin">
        <color theme="0" tint="-0.1499374370555742"/>
      </left>
      <right style="thin">
        <color indexed="64"/>
      </right>
      <top style="thin">
        <color theme="0" tint="-0.1499374370555742"/>
      </top>
      <bottom/>
      <diagonal/>
    </border>
    <border>
      <left style="thin">
        <color theme="0" tint="-0.1499069185460982"/>
      </left>
      <right style="thin">
        <color indexed="64"/>
      </right>
      <top/>
      <bottom style="thin">
        <color theme="0" tint="-0.1499069185460982"/>
      </bottom>
      <diagonal/>
    </border>
    <border>
      <left style="thin">
        <color theme="0" tint="-0.1499069185460982"/>
      </left>
      <right style="thin">
        <color indexed="64"/>
      </right>
      <top style="thin">
        <color theme="0" tint="-0.1499069185460982"/>
      </top>
      <bottom style="thin">
        <color theme="0" tint="-0.1499069185460982"/>
      </bottom>
      <diagonal/>
    </border>
    <border>
      <left style="thin">
        <color theme="0" tint="-0.1499069185460982"/>
      </left>
      <right style="thin">
        <color indexed="64"/>
      </right>
      <top style="thin">
        <color theme="0" tint="-0.1499069185460982"/>
      </top>
      <bottom/>
      <diagonal/>
    </border>
    <border>
      <left style="thin">
        <color indexed="64"/>
      </left>
      <right style="thin">
        <color indexed="64"/>
      </right>
      <top style="thin">
        <color indexed="64"/>
      </top>
      <bottom style="thin">
        <color theme="0" tint="-0.1499679555650502"/>
      </bottom>
      <diagonal/>
    </border>
    <border>
      <left style="thin">
        <color indexed="64"/>
      </left>
      <right style="thin">
        <color indexed="64"/>
      </right>
      <top/>
      <bottom style="thin">
        <color theme="0" tint="-0.1499679555650502"/>
      </bottom>
      <diagonal/>
    </border>
    <border>
      <left style="thin">
        <color indexed="64"/>
      </left>
      <right style="thin">
        <color indexed="64"/>
      </right>
      <top style="thin">
        <color theme="0" tint="-0.1499679555650502"/>
      </top>
      <bottom style="thin">
        <color theme="0" tint="-0.1499679555650502"/>
      </bottom>
      <diagonal/>
    </border>
    <border>
      <left style="thin">
        <color indexed="64"/>
      </left>
      <right style="thin">
        <color indexed="64"/>
      </right>
      <top style="thin">
        <color theme="0" tint="-0.1499679555650502"/>
      </top>
      <bottom/>
      <diagonal/>
    </border>
    <border>
      <left/>
      <right style="thin">
        <color theme="0" tint="-0.1498764000366222"/>
      </right>
      <top style="thin">
        <color indexed="64"/>
      </top>
      <bottom style="thin">
        <color theme="0" tint="-0.1498764000366222"/>
      </bottom>
      <diagonal/>
    </border>
    <border>
      <left style="thin">
        <color indexed="64"/>
      </left>
      <right style="thin">
        <color indexed="64"/>
      </right>
      <top style="thin">
        <color indexed="64"/>
      </top>
      <bottom style="thin">
        <color theme="0" tint="-0.1498764000366222"/>
      </bottom>
      <diagonal/>
    </border>
    <border>
      <left style="thin">
        <color indexed="64"/>
      </left>
      <right style="thin">
        <color indexed="64"/>
      </right>
      <top/>
      <bottom style="thin">
        <color theme="0" tint="-0.1499069185460982"/>
      </bottom>
      <diagonal/>
    </border>
    <border>
      <left style="thin">
        <color indexed="64"/>
      </left>
      <right style="thin">
        <color indexed="64"/>
      </right>
      <top style="thin">
        <color theme="0" tint="-0.1499069185460982"/>
      </top>
      <bottom/>
      <diagonal/>
    </border>
    <border>
      <left style="hair">
        <color indexed="64"/>
      </left>
      <right style="hair">
        <color indexed="64"/>
      </right>
      <top style="thin">
        <color indexed="64"/>
      </top>
      <bottom/>
      <diagonal/>
    </border>
    <border>
      <left style="hair">
        <color indexed="64"/>
      </left>
      <right/>
      <top style="dotted">
        <color rgb="FF968C6D"/>
      </top>
      <bottom style="dotted">
        <color rgb="FF968C6D"/>
      </bottom>
      <diagonal/>
    </border>
    <border>
      <left/>
      <right style="thin">
        <color indexed="64"/>
      </right>
      <top style="dotted">
        <color rgb="FF968C6D"/>
      </top>
      <bottom style="dotted">
        <color rgb="FF968C6D"/>
      </bottom>
      <diagonal/>
    </border>
    <border>
      <left style="hair">
        <color indexed="64"/>
      </left>
      <right/>
      <top style="dotted">
        <color rgb="FF968C6D"/>
      </top>
      <bottom/>
      <diagonal/>
    </border>
    <border>
      <left style="hair">
        <color indexed="64"/>
      </left>
      <right/>
      <top/>
      <bottom style="dotted">
        <color rgb="FF968C6D"/>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style="thin">
        <color indexed="64"/>
      </right>
      <top style="thin">
        <color indexed="64"/>
      </top>
      <bottom style="dotted">
        <color rgb="FF968C6D"/>
      </bottom>
      <diagonal/>
    </border>
    <border>
      <left style="thin">
        <color indexed="64"/>
      </left>
      <right/>
      <top style="dotted">
        <color rgb="FF968C6D"/>
      </top>
      <bottom style="hair">
        <color indexed="64"/>
      </bottom>
      <diagonal/>
    </border>
    <border>
      <left style="thin">
        <color indexed="64"/>
      </left>
      <right/>
      <top style="thin">
        <color indexed="64"/>
      </top>
      <bottom style="medium">
        <color indexed="64"/>
      </bottom>
      <diagonal/>
    </border>
    <border>
      <left style="thin">
        <color indexed="64"/>
      </left>
      <right/>
      <top style="thin">
        <color indexed="64"/>
      </top>
      <bottom style="dotted">
        <color rgb="FF968C6D"/>
      </bottom>
      <diagonal/>
    </border>
    <border>
      <left style="thin">
        <color indexed="64"/>
      </left>
      <right style="hair">
        <color indexed="64"/>
      </right>
      <top style="dotted">
        <color rgb="FF968C6D"/>
      </top>
      <bottom style="dotted">
        <color rgb="FF968C6D"/>
      </bottom>
      <diagonal/>
    </border>
    <border>
      <left style="thin">
        <color indexed="64"/>
      </left>
      <right style="hair">
        <color indexed="64"/>
      </right>
      <top style="dotted">
        <color rgb="FF968C6D"/>
      </top>
      <bottom/>
      <diagonal/>
    </border>
    <border>
      <left/>
      <right style="thin">
        <color indexed="64"/>
      </right>
      <top style="dotted">
        <color rgb="FF968C6D"/>
      </top>
      <bottom/>
      <diagonal/>
    </border>
    <border>
      <left/>
      <right/>
      <top style="thin">
        <color indexed="64"/>
      </top>
      <bottom style="medium">
        <color indexed="64"/>
      </bottom>
      <diagonal/>
    </border>
    <border>
      <left/>
      <right/>
      <top style="dotted">
        <color auto="1"/>
      </top>
      <bottom style="dotted">
        <color rgb="FF968C6D"/>
      </bottom>
      <diagonal/>
    </border>
    <border>
      <left/>
      <right style="thin">
        <color indexed="64"/>
      </right>
      <top style="dotted">
        <color auto="1"/>
      </top>
      <bottom style="dotted">
        <color rgb="FF968C6D"/>
      </bottom>
      <diagonal/>
    </border>
    <border>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right/>
      <top style="dotted">
        <color rgb="FF968C6D"/>
      </top>
      <bottom style="hair">
        <color indexed="64"/>
      </bottom>
      <diagonal/>
    </border>
    <border>
      <left/>
      <right/>
      <top style="dotted">
        <color rgb="FF968C6D"/>
      </top>
      <bottom style="medium">
        <color theme="0" tint="-0.3499862666707358"/>
      </bottom>
      <diagonal/>
    </border>
    <border>
      <left/>
      <right/>
      <top style="thin">
        <color indexed="64"/>
      </top>
      <bottom style="medium">
        <color theme="0" tint="-0.3499862666707358"/>
      </bottom>
      <diagonal/>
    </border>
    <border>
      <left/>
      <right/>
      <top style="dotted">
        <color auto="1"/>
      </top>
      <bottom/>
      <diagonal/>
    </border>
    <border>
      <left/>
      <right style="thin">
        <color indexed="64"/>
      </right>
      <top style="dotted">
        <color auto="1"/>
      </top>
      <bottom/>
      <diagonal/>
    </border>
    <border>
      <left/>
      <right style="thin">
        <color theme="0" tint="-0.1499679555650502"/>
      </right>
      <top/>
      <bottom/>
      <diagonal/>
    </border>
    <border>
      <left/>
      <right/>
      <top/>
      <bottom style="thin">
        <color theme="0" tint="-0.1499679555650502"/>
      </bottom>
      <diagonal/>
    </border>
    <border>
      <left/>
      <right style="thin">
        <color theme="0" tint="-0.1499374370555742"/>
      </right>
      <top style="dotted">
        <color auto="1"/>
      </top>
      <bottom/>
      <diagonal/>
    </border>
    <border>
      <left/>
      <right style="thin">
        <color theme="0" tint="-0.1499374370555742"/>
      </right>
      <top/>
      <bottom/>
      <diagonal/>
    </border>
    <border>
      <left/>
      <right style="thin">
        <color theme="0" tint="-0.1499069185460982"/>
      </right>
      <top/>
      <bottom/>
      <diagonal/>
    </border>
    <border>
      <left/>
      <right/>
      <top/>
      <bottom style="thin">
        <color theme="0" tint="-0.1499069185460982"/>
      </bottom>
      <diagonal/>
    </border>
    <border>
      <left/>
      <right style="thin">
        <color theme="0" tint="-0.1498764000366222"/>
      </right>
      <top style="thin">
        <color indexed="64"/>
      </top>
      <bottom/>
      <diagonal/>
    </border>
    <border>
      <left/>
      <right/>
      <top style="thin">
        <color indexed="64"/>
      </top>
      <bottom style="thin">
        <color theme="0" tint="-0.1498764000366222"/>
      </bottom>
      <diagonal/>
    </border>
    <border>
      <left style="hair">
        <color indexed="64"/>
      </left>
      <right style="thin">
        <color indexed="64"/>
      </right>
      <top style="dotted">
        <color rgb="FF968C6D"/>
      </top>
      <bottom style="dotted">
        <color rgb="FF968C6D"/>
      </bottom>
      <diagonal/>
    </border>
    <border>
      <left/>
      <right/>
      <top style="thick">
        <color theme="4" tint="0.499984740745262"/>
      </top>
      <bottom/>
      <diagonal/>
    </border>
    <border>
      <left style="thin">
        <color indexed="64"/>
      </left>
      <right style="thin">
        <color indexed="64"/>
      </right>
      <top/>
      <bottom style="thin">
        <color indexed="64"/>
      </bottom>
      <diagonal/>
    </border>
    <border>
      <left style="hair">
        <color indexed="64"/>
      </left>
      <right style="thin">
        <color indexed="64"/>
      </right>
      <top/>
      <bottom style="dotted">
        <color rgb="FF968C6D"/>
      </bottom>
      <diagonal/>
    </border>
    <border>
      <left/>
      <right style="thin">
        <color indexed="64"/>
      </right>
      <top/>
      <bottom style="dotted">
        <color rgb="FF968C6D"/>
      </bottom>
      <diagonal/>
    </border>
  </borders>
  <cellStyleXfs count="12">
    <xf numFmtId="0" fontId="5" fillId="0" borderId="0"/>
    <xf numFmtId="0" fontId="5" fillId="0" borderId="0"/>
    <xf numFmtId="0" fontId="5" fillId="0" borderId="0"/>
    <xf numFmtId="0" fontId="7" fillId="0" borderId="0"/>
    <xf numFmtId="0" fontId="9" fillId="0" borderId="0"/>
    <xf numFmtId="9" fontId="9" fillId="0" borderId="0"/>
    <xf numFmtId="0" fontId="9" fillId="0" borderId="0"/>
    <xf numFmtId="0" fontId="9" fillId="0" borderId="0"/>
    <xf numFmtId="0" fontId="16" fillId="0" borderId="19"/>
    <xf numFmtId="0" fontId="5" fillId="4" borderId="0"/>
    <xf numFmtId="0" fontId="5" fillId="5" borderId="0"/>
    <xf numFmtId="9" fontId="5" fillId="0" borderId="0"/>
  </cellStyleXfs>
  <cellXfs count="377">
    <xf numFmtId="0" fontId="0" fillId="0" borderId="0" pivotButton="0" quotePrefix="0" xfId="0"/>
    <xf numFmtId="0" fontId="0" fillId="0" borderId="0" applyAlignment="1" pivotButton="0" quotePrefix="0" xfId="0">
      <alignment horizontal="left"/>
    </xf>
    <xf numFmtId="164" fontId="0" fillId="0" borderId="0" pivotButton="0" quotePrefix="0" xfId="0"/>
    <xf numFmtId="9" fontId="3" fillId="0" borderId="13" applyAlignment="1" applyProtection="1" pivotButton="0" quotePrefix="0" xfId="0">
      <alignment horizontal="center" vertical="top" wrapText="1"/>
      <protection locked="0" hidden="0"/>
    </xf>
    <xf numFmtId="0" fontId="3" fillId="0" borderId="12" applyAlignment="1" applyProtection="1" pivotButton="0" quotePrefix="0" xfId="0">
      <alignment vertical="top" wrapText="1"/>
      <protection locked="0" hidden="0"/>
    </xf>
    <xf numFmtId="0" fontId="5" fillId="7" borderId="68" applyAlignment="1" applyProtection="1" pivotButton="0" quotePrefix="0" xfId="9">
      <alignment horizontal="center" vertical="top" wrapText="1"/>
      <protection locked="0" hidden="0"/>
    </xf>
    <xf numFmtId="0" fontId="5" fillId="7" borderId="69" applyAlignment="1" applyProtection="1" pivotButton="0" quotePrefix="0" xfId="9">
      <alignment horizontal="center" vertical="top" wrapText="1"/>
      <protection locked="0" hidden="0"/>
    </xf>
    <xf numFmtId="0" fontId="5" fillId="7" borderId="70" applyAlignment="1" applyProtection="1" pivotButton="0" quotePrefix="0" xfId="9">
      <alignment horizontal="center" vertical="top" wrapText="1"/>
      <protection locked="0" hidden="0"/>
    </xf>
    <xf numFmtId="0" fontId="5" fillId="7" borderId="74" applyAlignment="1" applyProtection="1" pivotButton="0" quotePrefix="0" xfId="9">
      <alignment horizontal="center" vertical="top" wrapText="1"/>
      <protection locked="0" hidden="0"/>
    </xf>
    <xf numFmtId="1" fontId="5" fillId="7" borderId="73" applyAlignment="1" applyProtection="1" pivotButton="0" quotePrefix="0" xfId="9">
      <alignment horizontal="center" vertical="top" wrapText="1"/>
      <protection locked="0" hidden="0"/>
    </xf>
    <xf numFmtId="9" fontId="3" fillId="0" borderId="85" applyAlignment="1" applyProtection="1" pivotButton="0" quotePrefix="0" xfId="0">
      <alignment horizontal="center" vertical="top" wrapText="1"/>
      <protection locked="0" hidden="0"/>
    </xf>
    <xf numFmtId="0" fontId="5" fillId="4" borderId="88" applyAlignment="1" applyProtection="1" pivotButton="0" quotePrefix="0" xfId="9">
      <alignment horizontal="center" vertical="top" wrapText="1"/>
      <protection locked="0" hidden="0"/>
    </xf>
    <xf numFmtId="0" fontId="10" fillId="2" borderId="0" applyAlignment="1" applyProtection="1" pivotButton="0" quotePrefix="0" xfId="0">
      <alignment horizontal="center" wrapText="1"/>
      <protection locked="0" hidden="0"/>
    </xf>
    <xf numFmtId="0" fontId="5" fillId="4" borderId="89" applyAlignment="1" applyProtection="1" pivotButton="0" quotePrefix="0" xfId="9">
      <alignment horizontal="center" vertical="top" wrapText="1"/>
      <protection locked="0" hidden="0"/>
    </xf>
    <xf numFmtId="164" fontId="5" fillId="4" borderId="5" applyAlignment="1" applyProtection="1" pivotButton="0" quotePrefix="0" xfId="9">
      <alignment horizontal="left" vertical="top" wrapText="1"/>
      <protection locked="0" hidden="0"/>
    </xf>
    <xf numFmtId="164" fontId="5" fillId="4" borderId="14" applyAlignment="1" applyProtection="1" pivotButton="0" quotePrefix="0" xfId="9">
      <alignment horizontal="left" vertical="top" wrapText="1"/>
      <protection locked="0" hidden="0"/>
    </xf>
    <xf numFmtId="164" fontId="5" fillId="4" borderId="79" applyAlignment="1" applyProtection="1" pivotButton="0" quotePrefix="0" xfId="9">
      <alignment horizontal="left" vertical="top" wrapText="1"/>
      <protection locked="0" hidden="0"/>
    </xf>
    <xf numFmtId="164" fontId="5" fillId="4" borderId="77" applyAlignment="1" applyProtection="1" pivotButton="0" quotePrefix="0" xfId="9">
      <alignment horizontal="left" vertical="top" wrapText="1"/>
      <protection locked="0" hidden="0"/>
    </xf>
    <xf numFmtId="164" fontId="5" fillId="4" borderId="16" applyAlignment="1" applyProtection="1" pivotButton="0" quotePrefix="0" xfId="9">
      <alignment horizontal="left" vertical="top" wrapText="1"/>
      <protection locked="0" hidden="0"/>
    </xf>
    <xf numFmtId="0" fontId="14" fillId="0" borderId="7" applyAlignment="1" applyProtection="1" pivotButton="0" quotePrefix="0" xfId="0">
      <alignment wrapText="1"/>
      <protection locked="0" hidden="0"/>
    </xf>
    <xf numFmtId="164" fontId="14" fillId="0" borderId="7" applyAlignment="1" applyProtection="1" pivotButton="0" quotePrefix="0" xfId="0">
      <alignment horizontal="center" wrapText="1"/>
      <protection locked="0" hidden="0"/>
    </xf>
    <xf numFmtId="164" fontId="14" fillId="0" borderId="7" applyAlignment="1" applyProtection="1" pivotButton="0" quotePrefix="0" xfId="0">
      <alignment wrapText="1"/>
      <protection locked="0" hidden="0"/>
    </xf>
    <xf numFmtId="0" fontId="3" fillId="0" borderId="99" applyAlignment="1" applyProtection="1" pivotButton="0" quotePrefix="0" xfId="0">
      <alignment vertical="top" wrapText="1"/>
      <protection locked="0" hidden="0"/>
    </xf>
    <xf numFmtId="0" fontId="3" fillId="2" borderId="0" applyAlignment="1" applyProtection="1" pivotButton="0" quotePrefix="0" xfId="0">
      <alignment wrapText="1"/>
      <protection locked="0" hidden="0"/>
    </xf>
    <xf numFmtId="0" fontId="25" fillId="6" borderId="0" applyAlignment="1" applyProtection="1" pivotButton="0" quotePrefix="0" xfId="0">
      <alignment wrapText="1"/>
      <protection locked="0" hidden="0"/>
    </xf>
    <xf numFmtId="0" fontId="26" fillId="6" borderId="7" applyProtection="1" pivotButton="0" quotePrefix="0" xfId="0">
      <protection locked="0" hidden="0"/>
    </xf>
    <xf numFmtId="0" fontId="26" fillId="6" borderId="7" applyAlignment="1" applyProtection="1" pivotButton="0" quotePrefix="0" xfId="0">
      <alignment horizontal="center"/>
      <protection locked="0" hidden="0"/>
    </xf>
    <xf numFmtId="0" fontId="24" fillId="2" borderId="0" applyAlignment="1" applyProtection="1" pivotButton="0" quotePrefix="0" xfId="0">
      <alignment wrapText="1"/>
      <protection locked="0" hidden="0"/>
    </xf>
    <xf numFmtId="0" fontId="3" fillId="2" borderId="1" applyAlignment="1" applyProtection="1" pivotButton="0" quotePrefix="0" xfId="0">
      <alignment wrapText="1"/>
      <protection locked="0" hidden="0"/>
    </xf>
    <xf numFmtId="0" fontId="10" fillId="2" borderId="2" applyAlignment="1" applyProtection="1" pivotButton="0" quotePrefix="0" xfId="0">
      <alignment horizontal="center" wrapText="1"/>
      <protection locked="0" hidden="0"/>
    </xf>
    <xf numFmtId="0" fontId="31" fillId="2" borderId="2" applyAlignment="1" applyProtection="1" pivotButton="0" quotePrefix="0" xfId="0">
      <alignment horizontal="center" wrapText="1"/>
      <protection locked="0" hidden="0"/>
    </xf>
    <xf numFmtId="0" fontId="3" fillId="2" borderId="3" applyAlignment="1" applyProtection="1" pivotButton="0" quotePrefix="0" xfId="0">
      <alignment wrapText="1"/>
      <protection locked="0" hidden="0"/>
    </xf>
    <xf numFmtId="0" fontId="3" fillId="2" borderId="4" applyAlignment="1" applyProtection="1" pivotButton="0" quotePrefix="0" xfId="0">
      <alignment wrapText="1"/>
      <protection locked="0" hidden="0"/>
    </xf>
    <xf numFmtId="0" fontId="0" fillId="0" borderId="0" applyAlignment="1" applyProtection="1" pivotButton="0" quotePrefix="0" xfId="0">
      <alignment vertical="center" wrapText="1"/>
      <protection locked="0" hidden="0"/>
    </xf>
    <xf numFmtId="0" fontId="27" fillId="0" borderId="0" applyAlignment="1" applyProtection="1" pivotButton="0" quotePrefix="0" xfId="0">
      <alignment vertical="center" wrapText="1"/>
      <protection locked="0" hidden="0"/>
    </xf>
    <xf numFmtId="0" fontId="32" fillId="3" borderId="0" applyAlignment="1" applyProtection="1" pivotButton="0" quotePrefix="0" xfId="0">
      <alignment horizontal="center" vertical="center"/>
      <protection locked="0" hidden="0"/>
    </xf>
    <xf numFmtId="0" fontId="12" fillId="2" borderId="0" applyAlignment="1" applyProtection="1" pivotButton="0" quotePrefix="0" xfId="0">
      <alignment horizontal="left" vertical="center"/>
      <protection locked="0" hidden="0"/>
    </xf>
    <xf numFmtId="22" fontId="11" fillId="2" borderId="0" applyAlignment="1" applyProtection="1" pivotButton="0" quotePrefix="0" xfId="0">
      <alignment horizontal="center" wrapText="1"/>
      <protection locked="0" hidden="0"/>
    </xf>
    <xf numFmtId="0" fontId="3" fillId="2" borderId="5" applyAlignment="1" applyProtection="1" pivotButton="0" quotePrefix="0" xfId="0">
      <alignment wrapText="1"/>
      <protection locked="0" hidden="0"/>
    </xf>
    <xf numFmtId="0" fontId="3" fillId="2" borderId="4" applyAlignment="1" applyProtection="1" pivotButton="0" quotePrefix="0" xfId="0">
      <alignment vertical="center" wrapText="1"/>
      <protection locked="0" hidden="0"/>
    </xf>
    <xf numFmtId="0" fontId="3" fillId="2" borderId="0" applyAlignment="1" applyProtection="1" pivotButton="0" quotePrefix="0" xfId="0">
      <alignment horizontal="center" vertical="center" wrapText="1"/>
      <protection locked="0" hidden="0"/>
    </xf>
    <xf numFmtId="0" fontId="16" fillId="0" borderId="19" applyAlignment="1" applyProtection="1" pivotButton="0" quotePrefix="0" xfId="8">
      <alignment vertical="center"/>
      <protection locked="0" hidden="0"/>
    </xf>
    <xf numFmtId="0" fontId="0" fillId="0" borderId="19" applyAlignment="1" applyProtection="1" pivotButton="0" quotePrefix="0" xfId="0">
      <alignment vertical="center"/>
      <protection locked="0" hidden="0"/>
    </xf>
    <xf numFmtId="14" fontId="16" fillId="0" borderId="0" applyAlignment="1" applyProtection="1" pivotButton="0" quotePrefix="0" xfId="8">
      <alignment horizontal="left" wrapText="1"/>
      <protection locked="0" hidden="0"/>
    </xf>
    <xf numFmtId="0" fontId="3" fillId="2" borderId="0" applyAlignment="1" applyProtection="1" pivotButton="0" quotePrefix="0" xfId="0">
      <alignment vertical="center" wrapText="1"/>
      <protection locked="0" hidden="0"/>
    </xf>
    <xf numFmtId="0" fontId="3" fillId="2" borderId="5" applyAlignment="1" applyProtection="1" pivotButton="0" quotePrefix="0" xfId="0">
      <alignment vertical="center" wrapText="1"/>
      <protection locked="0" hidden="0"/>
    </xf>
    <xf numFmtId="0" fontId="16" fillId="0" borderId="21" applyAlignment="1" applyProtection="1" pivotButton="0" quotePrefix="0" xfId="8">
      <alignment vertical="center"/>
      <protection locked="0" hidden="0"/>
    </xf>
    <xf numFmtId="0" fontId="0" fillId="0" borderId="21" applyAlignment="1" applyProtection="1" pivotButton="0" quotePrefix="0" xfId="0">
      <alignment vertical="center"/>
      <protection locked="0" hidden="0"/>
    </xf>
    <xf numFmtId="0" fontId="3" fillId="2" borderId="0" applyAlignment="1" applyProtection="1" pivotButton="0" quotePrefix="0" xfId="0">
      <alignment horizontal="left" vertical="center" wrapText="1"/>
      <protection locked="0" hidden="0"/>
    </xf>
    <xf numFmtId="0" fontId="4" fillId="2" borderId="0" applyAlignment="1" applyProtection="1" pivotButton="0" quotePrefix="0" xfId="0">
      <alignment vertical="center" wrapText="1"/>
      <protection locked="0" hidden="0"/>
    </xf>
    <xf numFmtId="0" fontId="4" fillId="2" borderId="0" applyAlignment="1" applyProtection="1" pivotButton="0" quotePrefix="0" xfId="0">
      <alignment horizontal="left" vertical="center" wrapText="1"/>
      <protection locked="0" hidden="0"/>
    </xf>
    <xf numFmtId="164" fontId="5" fillId="4" borderId="12" applyAlignment="1" applyProtection="1" pivotButton="0" quotePrefix="0" xfId="9">
      <alignment horizontal="center" vertical="center" wrapText="1"/>
      <protection locked="0" hidden="0"/>
    </xf>
    <xf numFmtId="0" fontId="3" fillId="2" borderId="2" applyAlignment="1" applyProtection="1" pivotButton="0" quotePrefix="0" xfId="0">
      <alignment horizontal="center" vertical="top"/>
      <protection locked="0" hidden="0"/>
    </xf>
    <xf numFmtId="0" fontId="3" fillId="2" borderId="2" applyAlignment="1" applyProtection="1" pivotButton="0" quotePrefix="0" xfId="0">
      <alignment vertical="top" wrapText="1"/>
      <protection locked="0" hidden="0"/>
    </xf>
    <xf numFmtId="0" fontId="13" fillId="2" borderId="0" applyAlignment="1" applyProtection="1" pivotButton="0" quotePrefix="0" xfId="0">
      <alignment vertical="center" wrapText="1"/>
      <protection locked="0" hidden="0"/>
    </xf>
    <xf numFmtId="0" fontId="14" fillId="2" borderId="2" applyAlignment="1" applyProtection="1" pivotButton="0" quotePrefix="0" xfId="0">
      <alignment vertical="top"/>
      <protection locked="0" hidden="0"/>
    </xf>
    <xf numFmtId="0" fontId="14" fillId="2" borderId="0" applyAlignment="1" applyProtection="1" pivotButton="0" quotePrefix="0" xfId="0">
      <alignment horizontal="center" vertical="top" wrapText="1"/>
      <protection locked="0" hidden="0"/>
    </xf>
    <xf numFmtId="0" fontId="3" fillId="2" borderId="0" applyProtection="1" pivotButton="0" quotePrefix="0" xfId="0">
      <protection locked="0" hidden="0"/>
    </xf>
    <xf numFmtId="0" fontId="35" fillId="11" borderId="0" applyAlignment="1" applyProtection="1" pivotButton="0" quotePrefix="0" xfId="0">
      <alignment vertical="top"/>
      <protection locked="0" hidden="0"/>
    </xf>
    <xf numFmtId="0" fontId="2" fillId="2" borderId="4" applyAlignment="1" applyProtection="1" pivotButton="0" quotePrefix="0" xfId="0">
      <alignment wrapText="1"/>
      <protection locked="0" hidden="0"/>
    </xf>
    <xf numFmtId="0" fontId="2" fillId="2" borderId="5" applyAlignment="1" applyProtection="1" pivotButton="0" quotePrefix="0" xfId="0">
      <alignment wrapText="1"/>
      <protection locked="0" hidden="0"/>
    </xf>
    <xf numFmtId="0" fontId="2" fillId="2" borderId="0" applyAlignment="1" applyProtection="1" pivotButton="0" quotePrefix="0" xfId="0">
      <alignment wrapText="1"/>
      <protection locked="0" hidden="0"/>
    </xf>
    <xf numFmtId="0" fontId="30" fillId="8" borderId="0" applyProtection="1" pivotButton="0" quotePrefix="0" xfId="0">
      <protection locked="0" hidden="0"/>
    </xf>
    <xf numFmtId="0" fontId="30" fillId="8" borderId="0" applyAlignment="1" applyProtection="1" pivotButton="0" quotePrefix="0" xfId="0">
      <alignment wrapText="1"/>
      <protection locked="0" hidden="0"/>
    </xf>
    <xf numFmtId="0" fontId="29" fillId="8" borderId="0" applyAlignment="1" applyProtection="1" pivotButton="0" quotePrefix="0" xfId="0">
      <alignment wrapText="1"/>
      <protection locked="0" hidden="0"/>
    </xf>
    <xf numFmtId="0" fontId="3" fillId="8" borderId="0" applyAlignment="1" applyProtection="1" pivotButton="0" quotePrefix="0" xfId="0">
      <alignment wrapText="1"/>
      <protection locked="0" hidden="0"/>
    </xf>
    <xf numFmtId="0" fontId="29" fillId="8" borderId="0" applyProtection="1" pivotButton="0" quotePrefix="0" xfId="0">
      <protection locked="0" hidden="0"/>
    </xf>
    <xf numFmtId="0" fontId="12" fillId="8" borderId="0" applyAlignment="1" applyProtection="1" pivotButton="0" quotePrefix="0" xfId="0">
      <alignment vertical="top"/>
      <protection locked="0" hidden="0"/>
    </xf>
    <xf numFmtId="0" fontId="12" fillId="2" borderId="0" applyAlignment="1" applyProtection="1" pivotButton="0" quotePrefix="0" xfId="0">
      <alignment vertical="top"/>
      <protection locked="0" hidden="0"/>
    </xf>
    <xf numFmtId="0" fontId="5" fillId="0" borderId="0" applyAlignment="1" applyProtection="1" pivotButton="0" quotePrefix="0" xfId="9">
      <alignment vertical="top" wrapText="1"/>
      <protection locked="0" hidden="0"/>
    </xf>
    <xf numFmtId="0" fontId="3" fillId="0" borderId="4" applyAlignment="1" applyProtection="1" pivotButton="0" quotePrefix="0" xfId="0">
      <alignment horizontal="center" vertical="top" wrapText="1"/>
      <protection locked="0" hidden="0"/>
    </xf>
    <xf numFmtId="0" fontId="28" fillId="2" borderId="0" applyAlignment="1" applyProtection="1" pivotButton="0" quotePrefix="0" xfId="0">
      <alignment vertical="top"/>
      <protection locked="0" hidden="0"/>
    </xf>
    <xf numFmtId="0" fontId="43" fillId="0" borderId="0" applyAlignment="1" applyProtection="1" pivotButton="0" quotePrefix="0" xfId="0">
      <alignment horizontal="center"/>
      <protection locked="0" hidden="0"/>
    </xf>
    <xf numFmtId="0" fontId="20" fillId="8" borderId="80" applyAlignment="1" applyProtection="1" pivotButton="0" quotePrefix="0" xfId="9">
      <alignment horizontal="center" vertical="top" wrapText="1"/>
      <protection locked="0" hidden="0"/>
    </xf>
    <xf numFmtId="0" fontId="20" fillId="4" borderId="75" applyAlignment="1" applyProtection="1" pivotButton="0" quotePrefix="0" xfId="9">
      <alignment horizontal="center" vertical="top" wrapText="1"/>
      <protection locked="0" hidden="0"/>
    </xf>
    <xf numFmtId="0" fontId="20" fillId="4" borderId="82" applyAlignment="1" applyProtection="1" pivotButton="0" quotePrefix="0" xfId="9">
      <alignment horizontal="center" vertical="top" wrapText="1"/>
      <protection locked="0" hidden="0"/>
    </xf>
    <xf numFmtId="0" fontId="20" fillId="4" borderId="81" applyAlignment="1" applyProtection="1" pivotButton="0" quotePrefix="0" xfId="9">
      <alignment horizontal="center" vertical="top" wrapText="1"/>
      <protection locked="0" hidden="0"/>
    </xf>
    <xf numFmtId="0" fontId="2" fillId="10" borderId="17" applyAlignment="1" applyProtection="1" pivotButton="0" quotePrefix="0" xfId="0">
      <alignment vertical="top"/>
      <protection locked="0" hidden="0"/>
    </xf>
    <xf numFmtId="0" fontId="0" fillId="10" borderId="17" applyAlignment="1" applyProtection="1" pivotButton="0" quotePrefix="0" xfId="0">
      <alignment vertical="top"/>
      <protection locked="0" hidden="0"/>
    </xf>
    <xf numFmtId="9" fontId="2" fillId="10" borderId="15" applyAlignment="1" applyProtection="1" pivotButton="0" quotePrefix="0" xfId="0">
      <alignment horizontal="center" vertical="top" wrapText="1"/>
      <protection locked="0" hidden="0"/>
    </xf>
    <xf numFmtId="0" fontId="5" fillId="10" borderId="87" applyAlignment="1" applyProtection="1" pivotButton="0" quotePrefix="0" xfId="9">
      <alignment horizontal="center" vertical="top" wrapText="1"/>
      <protection locked="0" hidden="0"/>
    </xf>
    <xf numFmtId="0" fontId="0" fillId="10" borderId="84" applyAlignment="1" applyProtection="1" pivotButton="0" quotePrefix="0" xfId="9">
      <alignment vertical="top" wrapText="1"/>
      <protection locked="0" hidden="0"/>
    </xf>
    <xf numFmtId="0" fontId="3" fillId="0" borderId="0" applyAlignment="1" applyProtection="1" pivotButton="0" quotePrefix="0" xfId="0">
      <alignment wrapText="1"/>
      <protection locked="0" hidden="0"/>
    </xf>
    <xf numFmtId="0" fontId="3" fillId="0" borderId="5" applyAlignment="1" applyProtection="1" pivotButton="0" quotePrefix="0" xfId="0">
      <alignment wrapText="1"/>
      <protection locked="0" hidden="0"/>
    </xf>
    <xf numFmtId="0" fontId="3" fillId="0" borderId="13" applyAlignment="1" applyProtection="1" pivotButton="0" quotePrefix="0" xfId="0">
      <alignment horizontal="center" vertical="top" wrapText="1"/>
      <protection locked="0" hidden="0"/>
    </xf>
    <xf numFmtId="9" fontId="3" fillId="2" borderId="13" applyAlignment="1" applyProtection="1" pivotButton="0" quotePrefix="0" xfId="0">
      <alignment horizontal="center" vertical="top" wrapText="1"/>
      <protection locked="0" hidden="0"/>
    </xf>
    <xf numFmtId="0" fontId="3" fillId="2" borderId="0" applyAlignment="1" applyProtection="1" pivotButton="0" quotePrefix="0" xfId="0">
      <alignment vertical="top" wrapText="1"/>
      <protection locked="0" hidden="0"/>
    </xf>
    <xf numFmtId="0" fontId="3" fillId="2" borderId="5" applyAlignment="1" applyProtection="1" pivotButton="0" quotePrefix="0" xfId="0">
      <alignment vertical="top" wrapText="1"/>
      <protection locked="0" hidden="0"/>
    </xf>
    <xf numFmtId="0" fontId="48" fillId="0" borderId="98" applyAlignment="1" applyProtection="1" pivotButton="0" quotePrefix="0" xfId="0">
      <alignment horizontal="center" vertical="top" wrapText="1"/>
      <protection locked="0" hidden="0"/>
    </xf>
    <xf numFmtId="9" fontId="3" fillId="2" borderId="14" applyAlignment="1" applyProtection="1" pivotButton="0" quotePrefix="0" xfId="0">
      <alignment horizontal="center" vertical="top" wrapText="1"/>
      <protection locked="0" hidden="0"/>
    </xf>
    <xf numFmtId="0" fontId="3" fillId="0" borderId="0" applyAlignment="1" applyProtection="1" pivotButton="0" quotePrefix="0" xfId="0">
      <alignment vertical="top" wrapText="1"/>
      <protection locked="0" hidden="0"/>
    </xf>
    <xf numFmtId="0" fontId="3" fillId="2" borderId="13" applyAlignment="1" applyProtection="1" pivotButton="0" quotePrefix="0" xfId="0">
      <alignment vertical="top" wrapText="1"/>
      <protection locked="0" hidden="0"/>
    </xf>
    <xf numFmtId="0" fontId="29" fillId="2" borderId="13" applyAlignment="1" applyProtection="1" pivotButton="0" quotePrefix="0" xfId="0">
      <alignment horizontal="right" vertical="top" wrapText="1"/>
      <protection locked="0" hidden="0"/>
    </xf>
    <xf numFmtId="0" fontId="21" fillId="4" borderId="89" applyAlignment="1" applyProtection="1" pivotButton="0" quotePrefix="0" xfId="9">
      <alignment horizontal="center" vertical="top" wrapText="1"/>
      <protection locked="0" hidden="0"/>
    </xf>
    <xf numFmtId="164" fontId="5" fillId="4" borderId="78" applyAlignment="1" applyProtection="1" pivotButton="0" quotePrefix="0" xfId="9">
      <alignment horizontal="center" vertical="top" wrapText="1"/>
      <protection locked="0" hidden="0"/>
    </xf>
    <xf numFmtId="0" fontId="5" fillId="4" borderId="90" applyAlignment="1" applyProtection="1" pivotButton="0" quotePrefix="0" xfId="9">
      <alignment vertical="top" wrapText="1"/>
      <protection locked="0" hidden="0"/>
    </xf>
    <xf numFmtId="164" fontId="5" fillId="4" borderId="14" applyAlignment="1" applyProtection="1" pivotButton="0" quotePrefix="0" xfId="9">
      <alignment horizontal="center" vertical="top" wrapText="1"/>
      <protection locked="0" hidden="0"/>
    </xf>
    <xf numFmtId="0" fontId="2" fillId="2" borderId="91" applyAlignment="1" applyProtection="1" pivotButton="0" quotePrefix="0" xfId="0">
      <alignment vertical="top"/>
      <protection locked="0" hidden="0"/>
    </xf>
    <xf numFmtId="164" fontId="2" fillId="0" borderId="91" applyAlignment="1" applyProtection="1" pivotButton="0" quotePrefix="0" xfId="0">
      <alignment vertical="top" wrapText="1"/>
      <protection locked="0" hidden="0"/>
    </xf>
    <xf numFmtId="164" fontId="2" fillId="0" borderId="83" applyAlignment="1" applyProtection="1" pivotButton="0" quotePrefix="0" xfId="0">
      <alignment vertical="top" wrapText="1"/>
      <protection locked="0" hidden="0"/>
    </xf>
    <xf numFmtId="0" fontId="0" fillId="0" borderId="7" applyAlignment="1" applyProtection="1" pivotButton="0" quotePrefix="0" xfId="0">
      <alignment vertical="center" wrapText="1"/>
      <protection locked="0" hidden="0"/>
    </xf>
    <xf numFmtId="0" fontId="11" fillId="0" borderId="0" applyAlignment="1" applyProtection="1" pivotButton="0" quotePrefix="0" xfId="0">
      <alignment horizontal="center" wrapText="1"/>
      <protection locked="0" hidden="0"/>
    </xf>
    <xf numFmtId="1" fontId="11" fillId="0" borderId="0" applyAlignment="1" applyProtection="1" pivotButton="0" quotePrefix="0" xfId="0">
      <alignment horizontal="center" wrapText="1"/>
      <protection locked="0" hidden="0"/>
    </xf>
    <xf numFmtId="0" fontId="3" fillId="0" borderId="4" applyAlignment="1" applyProtection="1" pivotButton="0" quotePrefix="0" xfId="0">
      <alignment wrapText="1"/>
      <protection locked="0" hidden="0"/>
    </xf>
    <xf numFmtId="0" fontId="11" fillId="0" borderId="0" applyAlignment="1" applyProtection="1" pivotButton="0" quotePrefix="0" xfId="0">
      <alignment wrapText="1"/>
      <protection locked="0" hidden="0"/>
    </xf>
    <xf numFmtId="0" fontId="11" fillId="0" borderId="0" applyAlignment="1" applyProtection="1" pivotButton="0" quotePrefix="0" xfId="0">
      <alignment horizontal="left" wrapText="1"/>
      <protection locked="0" hidden="0"/>
    </xf>
    <xf numFmtId="0" fontId="11" fillId="8" borderId="0" applyAlignment="1" applyProtection="1" pivotButton="0" quotePrefix="0" xfId="0">
      <alignment wrapText="1"/>
      <protection locked="0" hidden="0"/>
    </xf>
    <xf numFmtId="1" fontId="11" fillId="8" borderId="0" applyAlignment="1" applyProtection="1" pivotButton="0" quotePrefix="0" xfId="0">
      <alignment horizontal="center" wrapText="1"/>
      <protection locked="0" hidden="0"/>
    </xf>
    <xf numFmtId="0" fontId="28" fillId="2" borderId="0" applyAlignment="1" applyProtection="1" pivotButton="0" quotePrefix="0" xfId="0">
      <alignment horizontal="left" vertical="top"/>
      <protection locked="0" hidden="0"/>
    </xf>
    <xf numFmtId="0" fontId="38" fillId="2" borderId="0" applyAlignment="1" applyProtection="1" pivotButton="0" quotePrefix="0" xfId="0">
      <alignment wrapText="1"/>
      <protection locked="0" hidden="0"/>
    </xf>
    <xf numFmtId="0" fontId="39" fillId="2" borderId="0" applyAlignment="1" applyProtection="1" pivotButton="0" quotePrefix="0" xfId="0">
      <alignment horizontal="left" vertical="top"/>
      <protection locked="0" hidden="0"/>
    </xf>
    <xf numFmtId="0" fontId="17" fillId="2" borderId="0" applyAlignment="1" applyProtection="1" pivotButton="0" quotePrefix="0" xfId="0">
      <alignment horizontal="left" vertical="top"/>
      <protection locked="0" hidden="0"/>
    </xf>
    <xf numFmtId="0" fontId="39" fillId="7" borderId="67" applyAlignment="1" applyProtection="1" pivotButton="0" quotePrefix="0" xfId="9">
      <alignment horizontal="center" vertical="top" wrapText="1"/>
      <protection locked="0" hidden="0"/>
    </xf>
    <xf numFmtId="0" fontId="39" fillId="7" borderId="72" applyAlignment="1" applyProtection="1" pivotButton="0" quotePrefix="0" xfId="9">
      <alignment horizontal="center" vertical="top" wrapText="1"/>
      <protection locked="0" hidden="0"/>
    </xf>
    <xf numFmtId="0" fontId="17" fillId="9" borderId="0" applyProtection="1" pivotButton="0" quotePrefix="0" xfId="0">
      <protection locked="0" hidden="0"/>
    </xf>
    <xf numFmtId="0" fontId="0" fillId="9" borderId="0" applyAlignment="1" applyProtection="1" pivotButton="0" quotePrefix="0" xfId="0">
      <alignment vertical="top" wrapText="1"/>
      <protection locked="0" hidden="0"/>
    </xf>
    <xf numFmtId="0" fontId="0" fillId="9" borderId="0" applyAlignment="1" applyProtection="1" pivotButton="0" quotePrefix="0" xfId="0">
      <alignment horizontal="right" vertical="top" wrapText="1"/>
      <protection locked="0" hidden="0"/>
    </xf>
    <xf numFmtId="0" fontId="5" fillId="9" borderId="18" applyAlignment="1" applyProtection="1" pivotButton="0" quotePrefix="0" xfId="9">
      <alignment horizontal="center" vertical="top" wrapText="1"/>
      <protection locked="0" hidden="0"/>
    </xf>
    <xf numFmtId="0" fontId="5" fillId="9" borderId="0" applyAlignment="1" applyProtection="1" pivotButton="0" quotePrefix="0" xfId="9">
      <alignment horizontal="center" vertical="top" wrapText="1"/>
      <protection locked="0" hidden="0"/>
    </xf>
    <xf numFmtId="0" fontId="5" fillId="9" borderId="5" applyAlignment="1" applyProtection="1" pivotButton="0" quotePrefix="0" xfId="9">
      <alignment vertical="top" wrapText="1"/>
      <protection locked="0" hidden="0"/>
    </xf>
    <xf numFmtId="0" fontId="6" fillId="2" borderId="0" applyAlignment="1" applyProtection="1" pivotButton="0" quotePrefix="0" xfId="0">
      <alignment wrapText="1"/>
      <protection locked="0" hidden="0"/>
    </xf>
    <xf numFmtId="0" fontId="19" fillId="8" borderId="33" applyAlignment="1" applyProtection="1" pivotButton="0" quotePrefix="0" xfId="0">
      <alignment vertical="top"/>
      <protection locked="0" hidden="0"/>
    </xf>
    <xf numFmtId="0" fontId="0" fillId="8" borderId="33" applyAlignment="1" applyProtection="1" pivotButton="0" quotePrefix="0" xfId="0">
      <alignment vertical="top" wrapText="1"/>
      <protection locked="0" hidden="0"/>
    </xf>
    <xf numFmtId="0" fontId="0" fillId="8" borderId="33" applyAlignment="1" applyProtection="1" pivotButton="0" quotePrefix="0" xfId="0">
      <alignment horizontal="center" vertical="top" wrapText="1"/>
      <protection locked="0" hidden="0"/>
    </xf>
    <xf numFmtId="0" fontId="3" fillId="2" borderId="4" applyAlignment="1" applyProtection="1" pivotButton="0" quotePrefix="0" xfId="0">
      <alignment vertical="top" wrapText="1"/>
      <protection locked="0" hidden="0"/>
    </xf>
    <xf numFmtId="0" fontId="6" fillId="2" borderId="0" applyAlignment="1" applyProtection="1" pivotButton="0" quotePrefix="0" xfId="0">
      <alignment vertical="top" wrapText="1"/>
      <protection locked="0" hidden="0"/>
    </xf>
    <xf numFmtId="0" fontId="0" fillId="9" borderId="13" applyAlignment="1" applyProtection="1" pivotButton="0" quotePrefix="0" xfId="0">
      <alignment vertical="top" wrapText="1"/>
      <protection locked="0" hidden="0"/>
    </xf>
    <xf numFmtId="0" fontId="0" fillId="9" borderId="13" applyAlignment="1" applyProtection="1" pivotButton="0" quotePrefix="0" xfId="0">
      <alignment horizontal="center" vertical="top" wrapText="1"/>
      <protection locked="0" hidden="0"/>
    </xf>
    <xf numFmtId="0" fontId="5" fillId="9" borderId="18" applyAlignment="1" applyProtection="1" pivotButton="0" quotePrefix="0" xfId="9">
      <alignment wrapText="1"/>
      <protection locked="0" hidden="0"/>
    </xf>
    <xf numFmtId="0" fontId="5" fillId="9" borderId="18" applyAlignment="1" applyProtection="1" pivotButton="0" quotePrefix="0" xfId="9">
      <alignment horizontal="center" wrapText="1"/>
      <protection locked="0" hidden="0"/>
    </xf>
    <xf numFmtId="0" fontId="0" fillId="9" borderId="33" applyAlignment="1" applyProtection="1" pivotButton="0" quotePrefix="0" xfId="0">
      <alignment vertical="top" wrapText="1"/>
      <protection locked="0" hidden="0"/>
    </xf>
    <xf numFmtId="0" fontId="0" fillId="9" borderId="33" applyAlignment="1" applyProtection="1" pivotButton="0" quotePrefix="0" xfId="0">
      <alignment horizontal="center" vertical="top" wrapText="1"/>
      <protection locked="0" hidden="0"/>
    </xf>
    <xf numFmtId="0" fontId="5" fillId="9" borderId="34" applyAlignment="1" applyProtection="1" pivotButton="0" quotePrefix="0" xfId="9">
      <alignment wrapText="1"/>
      <protection locked="0" hidden="0"/>
    </xf>
    <xf numFmtId="0" fontId="5" fillId="9" borderId="34" applyAlignment="1" applyProtection="1" pivotButton="0" quotePrefix="0" xfId="9">
      <alignment horizontal="center" wrapText="1"/>
      <protection locked="0" hidden="0"/>
    </xf>
    <xf numFmtId="0" fontId="0" fillId="2" borderId="0" applyAlignment="1" applyProtection="1" pivotButton="0" quotePrefix="0" xfId="0">
      <alignment vertical="top" wrapText="1"/>
      <protection locked="0" hidden="0"/>
    </xf>
    <xf numFmtId="0" fontId="18" fillId="2" borderId="11" applyAlignment="1" applyProtection="1" pivotButton="0" quotePrefix="0" xfId="0">
      <alignment vertical="center"/>
      <protection locked="0" hidden="0"/>
    </xf>
    <xf numFmtId="0" fontId="18" fillId="2" borderId="0" applyAlignment="1" applyProtection="1" pivotButton="0" quotePrefix="0" xfId="0">
      <alignment vertical="center"/>
      <protection locked="0" hidden="0"/>
    </xf>
    <xf numFmtId="0" fontId="3" fillId="0" borderId="0" applyAlignment="1" applyProtection="1" pivotButton="0" quotePrefix="0" xfId="0">
      <alignment horizontal="center" vertical="center" wrapText="1"/>
      <protection locked="0" hidden="0"/>
    </xf>
    <xf numFmtId="0" fontId="10" fillId="0" borderId="0" applyAlignment="1" applyProtection="1" pivotButton="0" quotePrefix="0" xfId="0">
      <alignment wrapText="1"/>
      <protection locked="0" hidden="0"/>
    </xf>
    <xf numFmtId="164" fontId="10" fillId="0" borderId="0" applyAlignment="1" applyProtection="1" pivotButton="0" quotePrefix="0" xfId="0">
      <alignment horizontal="center" wrapText="1"/>
      <protection locked="0" hidden="0"/>
    </xf>
    <xf numFmtId="164" fontId="10" fillId="0" borderId="0" applyAlignment="1" applyProtection="1" pivotButton="0" quotePrefix="0" xfId="0">
      <alignment wrapText="1"/>
      <protection locked="0" hidden="0"/>
    </xf>
    <xf numFmtId="0" fontId="42" fillId="11" borderId="1" applyAlignment="1" applyProtection="1" pivotButton="0" quotePrefix="0" xfId="0">
      <alignment vertical="center"/>
      <protection locked="0" hidden="0"/>
    </xf>
    <xf numFmtId="0" fontId="42" fillId="11" borderId="2" applyAlignment="1" applyProtection="1" pivotButton="0" quotePrefix="0" xfId="0">
      <alignment vertical="center"/>
      <protection locked="0" hidden="0"/>
    </xf>
    <xf numFmtId="0" fontId="42" fillId="11" borderId="3" applyAlignment="1" applyProtection="1" pivotButton="0" quotePrefix="0" xfId="0">
      <alignment vertical="center"/>
      <protection locked="0" hidden="0"/>
    </xf>
    <xf numFmtId="0" fontId="23" fillId="0" borderId="0" applyProtection="1" pivotButton="0" quotePrefix="0" xfId="0">
      <protection locked="0" hidden="0"/>
    </xf>
    <xf numFmtId="0" fontId="12" fillId="0" borderId="0" applyAlignment="1" applyProtection="1" pivotButton="0" quotePrefix="0" xfId="0">
      <alignment wrapText="1"/>
      <protection locked="0" hidden="0"/>
    </xf>
    <xf numFmtId="0" fontId="12" fillId="0" borderId="0" applyProtection="1" pivotButton="0" quotePrefix="0" xfId="0">
      <protection locked="0" hidden="0"/>
    </xf>
    <xf numFmtId="0" fontId="12" fillId="2" borderId="0" applyAlignment="1" applyProtection="1" pivotButton="0" quotePrefix="0" xfId="0">
      <alignment horizontal="center" vertical="center"/>
      <protection locked="0" hidden="0"/>
    </xf>
    <xf numFmtId="0" fontId="2" fillId="2" borderId="0" applyAlignment="1" applyProtection="1" pivotButton="0" quotePrefix="0" xfId="0">
      <alignment horizontal="left" vertical="center"/>
      <protection locked="0" hidden="0"/>
    </xf>
    <xf numFmtId="0" fontId="3" fillId="2" borderId="6" applyAlignment="1" applyProtection="1" pivotButton="0" quotePrefix="0" xfId="0">
      <alignment wrapText="1"/>
      <protection locked="0" hidden="0"/>
    </xf>
    <xf numFmtId="0" fontId="3" fillId="2" borderId="7" applyAlignment="1" applyProtection="1" pivotButton="0" quotePrefix="0" xfId="0">
      <alignment horizontal="center" vertical="center" wrapText="1"/>
      <protection locked="0" hidden="0"/>
    </xf>
    <xf numFmtId="0" fontId="2" fillId="2" borderId="7" applyAlignment="1" applyProtection="1" pivotButton="0" quotePrefix="0" xfId="0">
      <alignment horizontal="center" vertical="center"/>
      <protection locked="0" hidden="0"/>
    </xf>
    <xf numFmtId="0" fontId="10" fillId="0" borderId="7" applyAlignment="1" applyProtection="1" pivotButton="0" quotePrefix="0" xfId="0">
      <alignment wrapText="1"/>
      <protection locked="0" hidden="0"/>
    </xf>
    <xf numFmtId="164" fontId="10" fillId="0" borderId="7" applyAlignment="1" applyProtection="1" pivotButton="0" quotePrefix="0" xfId="0">
      <alignment horizontal="center" wrapText="1"/>
      <protection locked="0" hidden="0"/>
    </xf>
    <xf numFmtId="164" fontId="10" fillId="0" borderId="7" applyAlignment="1" applyProtection="1" pivotButton="0" quotePrefix="0" xfId="0">
      <alignment wrapText="1"/>
      <protection locked="0" hidden="0"/>
    </xf>
    <xf numFmtId="0" fontId="3" fillId="2" borderId="8" applyAlignment="1" applyProtection="1" pivotButton="0" quotePrefix="0" xfId="0">
      <alignment wrapText="1"/>
      <protection locked="0" hidden="0"/>
    </xf>
    <xf numFmtId="9" fontId="2" fillId="0" borderId="97" applyAlignment="1" applyProtection="1" pivotButton="0" quotePrefix="0" xfId="0">
      <alignment horizontal="center" vertical="top" wrapText="1"/>
      <protection locked="1" hidden="1"/>
    </xf>
    <xf numFmtId="1" fontId="5" fillId="4" borderId="95" applyAlignment="1" pivotButton="0" quotePrefix="0" xfId="9">
      <alignment horizontal="center" vertical="top" wrapText="1"/>
    </xf>
    <xf numFmtId="164" fontId="2" fillId="0" borderId="7" applyAlignment="1" pivotButton="0" quotePrefix="0" xfId="0">
      <alignment horizontal="center" vertical="center" wrapText="1"/>
    </xf>
    <xf numFmtId="164" fontId="2" fillId="0" borderId="86" applyAlignment="1" pivotButton="0" quotePrefix="0" xfId="0">
      <alignment horizontal="center" vertical="top" wrapText="1"/>
    </xf>
    <xf numFmtId="164" fontId="5" fillId="10" borderId="12" applyAlignment="1" pivotButton="0" quotePrefix="0" xfId="9">
      <alignment horizontal="center" vertical="top" wrapText="1"/>
    </xf>
    <xf numFmtId="2" fontId="5" fillId="10" borderId="12" applyAlignment="1" pivotButton="0" quotePrefix="0" xfId="11">
      <alignment horizontal="center" vertical="top" wrapText="1"/>
    </xf>
    <xf numFmtId="9" fontId="2" fillId="2" borderId="91" applyAlignment="1" pivotButton="0" quotePrefix="0" xfId="0">
      <alignment horizontal="center" vertical="center" wrapText="1"/>
    </xf>
    <xf numFmtId="1" fontId="5" fillId="0" borderId="91" applyAlignment="1" pivotButton="0" quotePrefix="0" xfId="9">
      <alignment horizontal="center" vertical="top" wrapText="1"/>
    </xf>
    <xf numFmtId="1" fontId="5" fillId="4" borderId="95" applyAlignment="1" pivotButton="0" quotePrefix="0" xfId="9">
      <alignment horizontal="center" vertical="center" wrapText="1"/>
    </xf>
    <xf numFmtId="0" fontId="5" fillId="0" borderId="91" applyAlignment="1" pivotButton="0" quotePrefix="0" xfId="9">
      <alignment horizontal="center" vertical="center" wrapText="1"/>
    </xf>
    <xf numFmtId="164" fontId="5" fillId="0" borderId="95" applyAlignment="1" pivotButton="0" quotePrefix="0" xfId="9">
      <alignment horizontal="center" vertical="center" wrapText="1"/>
    </xf>
    <xf numFmtId="0" fontId="0" fillId="7" borderId="22" applyAlignment="1" applyProtection="1" pivotButton="0" quotePrefix="0" xfId="0">
      <alignment horizontal="left" vertical="top" wrapText="1"/>
      <protection locked="0" hidden="0"/>
    </xf>
    <xf numFmtId="0" fontId="0" fillId="7" borderId="20" applyAlignment="1" applyProtection="1" pivotButton="0" quotePrefix="0" xfId="0">
      <alignment horizontal="left" vertical="top" wrapText="1"/>
      <protection locked="0" hidden="0"/>
    </xf>
    <xf numFmtId="0" fontId="0" fillId="7" borderId="23" applyAlignment="1" applyProtection="1" pivotButton="0" quotePrefix="0" xfId="0">
      <alignment horizontal="left" vertical="top" wrapText="1"/>
      <protection locked="0" hidden="0"/>
    </xf>
    <xf numFmtId="0" fontId="2" fillId="2" borderId="91" applyAlignment="1" applyProtection="1" pivotButton="0" quotePrefix="0" xfId="0">
      <alignment horizontal="right" vertical="center"/>
      <protection locked="0" hidden="0"/>
    </xf>
    <xf numFmtId="0" fontId="44" fillId="2" borderId="10" applyAlignment="1" applyProtection="1" pivotButton="0" quotePrefix="0" xfId="0">
      <alignment horizontal="right"/>
      <protection locked="0" hidden="0"/>
    </xf>
    <xf numFmtId="15" fontId="0" fillId="0" borderId="21" applyAlignment="1" applyProtection="1" pivotButton="0" quotePrefix="0" xfId="0">
      <alignment horizontal="left" vertical="center"/>
      <protection locked="0" hidden="0"/>
    </xf>
    <xf numFmtId="0" fontId="15" fillId="13" borderId="0" applyAlignment="1" applyProtection="1" pivotButton="0" quotePrefix="0" xfId="0">
      <alignment horizontal="center" vertical="center"/>
      <protection locked="0" hidden="0"/>
    </xf>
    <xf numFmtId="0" fontId="4" fillId="2" borderId="0" applyAlignment="1" applyProtection="1" pivotButton="0" quotePrefix="0" xfId="0">
      <alignment horizontal="left" vertical="center" wrapText="1"/>
      <protection locked="0" hidden="0"/>
    </xf>
    <xf numFmtId="0" fontId="3" fillId="2" borderId="5" applyAlignment="1" applyProtection="1" pivotButton="0" quotePrefix="0" xfId="0">
      <alignment horizontal="right" vertical="center" textRotation="90" wrapText="1"/>
      <protection locked="0" hidden="0"/>
    </xf>
    <xf numFmtId="0" fontId="3" fillId="2" borderId="0" applyAlignment="1" applyProtection="1" pivotButton="0" quotePrefix="0" xfId="0">
      <alignment horizontal="right" vertical="center" textRotation="90" wrapText="1"/>
      <protection locked="0" hidden="0"/>
    </xf>
    <xf numFmtId="49" fontId="0" fillId="5" borderId="6" applyAlignment="1" applyProtection="1" pivotButton="0" quotePrefix="0" xfId="10">
      <alignment horizontal="left" vertical="top" wrapText="1"/>
      <protection locked="0" hidden="0"/>
    </xf>
    <xf numFmtId="49" fontId="5" fillId="5" borderId="7" applyAlignment="1" applyProtection="1" pivotButton="0" quotePrefix="0" xfId="10">
      <alignment horizontal="left" vertical="top" wrapText="1"/>
      <protection locked="0" hidden="0"/>
    </xf>
    <xf numFmtId="49" fontId="5" fillId="5" borderId="8" applyAlignment="1" applyProtection="1" pivotButton="0" quotePrefix="0" xfId="10">
      <alignment horizontal="left" vertical="top" wrapText="1"/>
      <protection locked="0" hidden="0"/>
    </xf>
    <xf numFmtId="0" fontId="0" fillId="0" borderId="2" applyAlignment="1" applyProtection="1" pivotButton="0" quotePrefix="0" xfId="0">
      <alignment horizontal="left" vertical="top" wrapText="1"/>
      <protection locked="0" hidden="0"/>
    </xf>
    <xf numFmtId="0" fontId="47" fillId="11" borderId="22" applyAlignment="1" applyProtection="1" pivotButton="0" quotePrefix="0" xfId="9">
      <alignment horizontal="center" vertical="center" wrapText="1"/>
      <protection locked="0" hidden="0"/>
    </xf>
    <xf numFmtId="0" fontId="47" fillId="11" borderId="20" applyAlignment="1" applyProtection="1" pivotButton="0" quotePrefix="0" xfId="9">
      <alignment horizontal="center" vertical="center" wrapText="1"/>
      <protection locked="0" hidden="0"/>
    </xf>
    <xf numFmtId="0" fontId="47" fillId="11" borderId="23" applyAlignment="1" applyProtection="1" pivotButton="0" quotePrefix="0" xfId="9">
      <alignment horizontal="center" vertical="center" wrapText="1"/>
      <protection locked="0" hidden="0"/>
    </xf>
    <xf numFmtId="164" fontId="5" fillId="4" borderId="79" applyAlignment="1" applyProtection="1" pivotButton="0" quotePrefix="0" xfId="9">
      <alignment vertical="top" wrapText="1"/>
      <protection locked="0" hidden="0"/>
    </xf>
    <xf numFmtId="164" fontId="5" fillId="4" borderId="77" applyAlignment="1" applyProtection="1" pivotButton="0" quotePrefix="0" xfId="9">
      <alignment vertical="top" wrapText="1"/>
      <protection locked="0" hidden="0"/>
    </xf>
    <xf numFmtId="164" fontId="5" fillId="4" borderId="16" applyAlignment="1" applyProtection="1" pivotButton="0" quotePrefix="0" xfId="9">
      <alignment horizontal="left" vertical="top" wrapText="1"/>
      <protection locked="0" hidden="0"/>
    </xf>
    <xf numFmtId="164" fontId="5" fillId="4" borderId="77" applyAlignment="1" applyProtection="1" pivotButton="0" quotePrefix="0" xfId="9">
      <alignment horizontal="left" vertical="top" wrapText="1"/>
      <protection locked="0" hidden="0"/>
    </xf>
    <xf numFmtId="164" fontId="5" fillId="4" borderId="76" applyAlignment="1" applyProtection="1" pivotButton="0" quotePrefix="0" xfId="9">
      <alignment vertical="top" wrapText="1"/>
      <protection locked="0" hidden="0"/>
    </xf>
    <xf numFmtId="164" fontId="5" fillId="4" borderId="13" applyAlignment="1" applyProtection="1" pivotButton="0" quotePrefix="0" xfId="9">
      <alignment horizontal="left" vertical="top" wrapText="1"/>
      <protection locked="0" hidden="0"/>
    </xf>
    <xf numFmtId="0" fontId="2" fillId="0" borderId="22" applyAlignment="1" applyProtection="1" pivotButton="0" quotePrefix="0" xfId="0">
      <alignment vertical="center"/>
      <protection locked="0" hidden="0"/>
    </xf>
    <xf numFmtId="0" fontId="17" fillId="0" borderId="20"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0" fillId="0" borderId="20" applyAlignment="1" applyProtection="1" pivotButton="0" quotePrefix="0" xfId="0">
      <alignment horizontal="center" vertical="top" wrapText="1"/>
      <protection locked="0" hidden="0"/>
    </xf>
    <xf numFmtId="0" fontId="0" fillId="0" borderId="23" applyAlignment="1" applyProtection="1" pivotButton="0" quotePrefix="0" xfId="0">
      <alignment horizontal="center" vertical="top" wrapText="1"/>
      <protection locked="0" hidden="0"/>
    </xf>
    <xf numFmtId="0" fontId="2" fillId="0" borderId="22" applyAlignment="1" applyProtection="1" pivotButton="0" quotePrefix="0" xfId="0">
      <alignment vertical="top"/>
      <protection locked="0" hidden="0"/>
    </xf>
    <xf numFmtId="0" fontId="17" fillId="0" borderId="20" applyAlignment="1" applyProtection="1" pivotButton="0" quotePrefix="0" xfId="0">
      <alignment vertical="top"/>
      <protection locked="0" hidden="0"/>
    </xf>
    <xf numFmtId="0" fontId="17" fillId="0" borderId="23" applyAlignment="1" applyProtection="1" pivotButton="0" quotePrefix="0" xfId="0">
      <alignment vertical="top"/>
      <protection locked="0" hidden="0"/>
    </xf>
    <xf numFmtId="22" fontId="14" fillId="2" borderId="0" applyAlignment="1" applyProtection="1" pivotButton="0" quotePrefix="0" xfId="0">
      <alignment horizontal="left" vertical="center" wrapText="1"/>
      <protection locked="0" hidden="0"/>
    </xf>
    <xf numFmtId="0" fontId="14" fillId="2" borderId="0" applyAlignment="1" applyProtection="1" pivotButton="0" quotePrefix="0" xfId="0">
      <alignment horizontal="left" vertical="center" wrapText="1"/>
      <protection locked="0" hidden="0"/>
    </xf>
    <xf numFmtId="0" fontId="16" fillId="0" borderId="19" applyAlignment="1" applyProtection="1" pivotButton="0" quotePrefix="0" xfId="8">
      <alignment vertical="center" wrapText="1"/>
      <protection locked="0" hidden="0"/>
    </xf>
    <xf numFmtId="0" fontId="33" fillId="0" borderId="19" applyAlignment="1" applyProtection="1" pivotButton="0" quotePrefix="1" xfId="8">
      <alignment horizontal="left" vertical="center" wrapText="1"/>
      <protection locked="0" hidden="0"/>
    </xf>
    <xf numFmtId="15" fontId="0" fillId="0" borderId="19" applyAlignment="1" applyProtection="1" pivotButton="0" quotePrefix="0" xfId="0">
      <alignment horizontal="left" vertical="center"/>
      <protection locked="0" hidden="0"/>
    </xf>
    <xf numFmtId="0" fontId="33" fillId="0" borderId="21" applyAlignment="1" applyProtection="1" pivotButton="0" quotePrefix="0" xfId="8">
      <alignment horizontal="left" vertical="center"/>
      <protection locked="0" hidden="0"/>
    </xf>
    <xf numFmtId="0" fontId="0" fillId="7" borderId="6" applyAlignment="1" applyProtection="1" pivotButton="0" quotePrefix="0" xfId="0">
      <alignment horizontal="left" vertical="top" wrapText="1"/>
      <protection locked="0" hidden="0"/>
    </xf>
    <xf numFmtId="0" fontId="0" fillId="7" borderId="7" applyAlignment="1" applyProtection="1" pivotButton="0" quotePrefix="0" xfId="0">
      <alignment horizontal="left" vertical="top" wrapText="1"/>
      <protection locked="0" hidden="0"/>
    </xf>
    <xf numFmtId="0" fontId="0" fillId="7" borderId="8" applyAlignment="1" applyProtection="1" pivotButton="0" quotePrefix="0" xfId="0">
      <alignment horizontal="left" vertical="top" wrapText="1"/>
      <protection locked="0" hidden="0"/>
    </xf>
    <xf numFmtId="0" fontId="0" fillId="0" borderId="20" applyAlignment="1" applyProtection="1" pivotButton="0" quotePrefix="0" xfId="0">
      <alignment horizontal="left" vertical="top" wrapText="1"/>
      <protection locked="0" hidden="0"/>
    </xf>
    <xf numFmtId="0" fontId="17" fillId="5" borderId="22" applyAlignment="1" applyProtection="1" pivotButton="0" quotePrefix="0" xfId="10">
      <alignment vertical="top" wrapText="1"/>
      <protection locked="0" hidden="0"/>
    </xf>
    <xf numFmtId="0" fontId="17" fillId="5" borderId="20" applyAlignment="1" applyProtection="1" pivotButton="0" quotePrefix="0" xfId="10">
      <alignment vertical="top"/>
      <protection locked="0" hidden="0"/>
    </xf>
    <xf numFmtId="0" fontId="17" fillId="5" borderId="23" applyAlignment="1" applyProtection="1" pivotButton="0" quotePrefix="0" xfId="10">
      <alignment vertical="top"/>
      <protection locked="0" hidden="0"/>
    </xf>
    <xf numFmtId="0" fontId="3" fillId="2" borderId="0" applyAlignment="1" applyProtection="1" pivotButton="0" quotePrefix="0" xfId="0">
      <alignment wrapText="1"/>
      <protection locked="0" hidden="0"/>
    </xf>
    <xf numFmtId="0" fontId="16" fillId="12" borderId="21" applyAlignment="1" applyProtection="1" pivotButton="0" quotePrefix="0" xfId="8">
      <alignment horizontal="left" vertical="center"/>
      <protection locked="0" hidden="0"/>
    </xf>
    <xf numFmtId="0" fontId="39" fillId="7" borderId="41" applyAlignment="1" applyProtection="1" pivotButton="0" quotePrefix="0" xfId="9">
      <alignment horizontal="center" vertical="top" wrapText="1"/>
      <protection locked="0" hidden="0"/>
    </xf>
    <xf numFmtId="0" fontId="39" fillId="7" borderId="42" applyAlignment="1" applyProtection="1" pivotButton="0" quotePrefix="0" xfId="9">
      <alignment horizontal="center" vertical="top" wrapText="1"/>
      <protection locked="0" hidden="0"/>
    </xf>
    <xf numFmtId="0" fontId="39" fillId="7" borderId="71" applyAlignment="1" applyProtection="1" pivotButton="0" quotePrefix="0" xfId="9">
      <alignment horizontal="center" vertical="top" wrapText="1"/>
      <protection locked="0" hidden="0"/>
    </xf>
    <xf numFmtId="0" fontId="39" fillId="7" borderId="44" applyAlignment="1" applyProtection="1" pivotButton="0" quotePrefix="0" xfId="9">
      <alignment horizontal="center" vertical="top" wrapText="1"/>
      <protection locked="0" hidden="0"/>
    </xf>
    <xf numFmtId="0" fontId="39" fillId="7" borderId="43" applyAlignment="1" applyProtection="1" pivotButton="0" quotePrefix="0" xfId="9">
      <alignment horizontal="center" vertical="top" wrapText="1"/>
      <protection locked="0" hidden="0"/>
    </xf>
    <xf numFmtId="164" fontId="5" fillId="4" borderId="76" applyAlignment="1" applyProtection="1" pivotButton="0" quotePrefix="0" xfId="9">
      <alignment horizontal="left" vertical="top" wrapText="1"/>
      <protection locked="0" hidden="0"/>
    </xf>
    <xf numFmtId="0" fontId="30" fillId="2" borderId="91" applyAlignment="1" applyProtection="1" pivotButton="0" quotePrefix="0" xfId="0">
      <alignment horizontal="right" vertical="top"/>
      <protection locked="0" hidden="0"/>
    </xf>
    <xf numFmtId="0" fontId="44" fillId="0" borderId="94" applyAlignment="1" applyProtection="1" pivotButton="0" quotePrefix="0" xfId="0">
      <alignment horizontal="right" vertical="center"/>
      <protection locked="0" hidden="0"/>
    </xf>
    <xf numFmtId="0" fontId="15" fillId="2" borderId="0" applyAlignment="1" applyProtection="1" pivotButton="0" quotePrefix="0" xfId="0">
      <alignment horizontal="center" wrapText="1"/>
      <protection locked="0" hidden="0"/>
    </xf>
    <xf numFmtId="0" fontId="40" fillId="2" borderId="0" applyAlignment="1" applyProtection="1" pivotButton="0" quotePrefix="0" xfId="0">
      <alignment horizontal="left" vertical="top" wrapText="1"/>
      <protection locked="0" hidden="0"/>
    </xf>
    <xf numFmtId="0" fontId="40" fillId="2" borderId="96" applyAlignment="1" applyProtection="1" pivotButton="0" quotePrefix="0" xfId="0">
      <alignment horizontal="left" vertical="top" wrapText="1"/>
      <protection locked="0" hidden="0"/>
    </xf>
    <xf numFmtId="0" fontId="42" fillId="11" borderId="22" applyAlignment="1" applyProtection="1" pivotButton="0" quotePrefix="0" xfId="0">
      <alignment horizontal="center" vertical="center"/>
      <protection locked="0" hidden="0"/>
    </xf>
    <xf numFmtId="0" fontId="42" fillId="11" borderId="20" applyAlignment="1" applyProtection="1" pivotButton="0" quotePrefix="0" xfId="0">
      <alignment horizontal="center" vertical="center"/>
      <protection locked="0" hidden="0"/>
    </xf>
    <xf numFmtId="0" fontId="42" fillId="11" borderId="23" applyAlignment="1" applyProtection="1" pivotButton="0" quotePrefix="0" xfId="0">
      <alignment horizontal="center" vertical="center"/>
      <protection locked="0" hidden="0"/>
    </xf>
    <xf numFmtId="0" fontId="5" fillId="9" borderId="0" applyAlignment="1" applyProtection="1" pivotButton="0" quotePrefix="0" xfId="9">
      <alignment horizontal="left" vertical="top" wrapText="1"/>
      <protection locked="0" hidden="0"/>
    </xf>
    <xf numFmtId="0" fontId="5" fillId="9" borderId="0" applyAlignment="1" applyProtection="1" pivotButton="0" quotePrefix="0" xfId="9">
      <alignment vertical="top" wrapText="1"/>
      <protection locked="0" hidden="0"/>
    </xf>
    <xf numFmtId="0" fontId="5" fillId="9" borderId="5" applyAlignment="1" applyProtection="1" pivotButton="0" quotePrefix="0" xfId="9">
      <alignment vertical="top" wrapText="1"/>
      <protection locked="0" hidden="0"/>
    </xf>
    <xf numFmtId="0" fontId="0" fillId="8" borderId="33" applyAlignment="1" applyProtection="1" pivotButton="0" quotePrefix="0" xfId="9">
      <alignment horizontal="left" wrapText="1"/>
      <protection locked="0" hidden="0"/>
    </xf>
    <xf numFmtId="0" fontId="0" fillId="8" borderId="33" applyAlignment="1" applyProtection="1" pivotButton="0" quotePrefix="0" xfId="0">
      <alignment horizontal="left" wrapText="1"/>
      <protection locked="0" hidden="0"/>
    </xf>
    <xf numFmtId="0" fontId="0" fillId="8" borderId="53" applyAlignment="1" applyProtection="1" pivotButton="0" quotePrefix="0" xfId="0">
      <alignment horizontal="left" wrapText="1"/>
      <protection locked="0" hidden="0"/>
    </xf>
    <xf numFmtId="0" fontId="5" fillId="8" borderId="33" applyAlignment="1" applyProtection="1" pivotButton="0" quotePrefix="0" xfId="9">
      <alignment horizontal="left" wrapText="1"/>
      <protection locked="0" hidden="0"/>
    </xf>
    <xf numFmtId="0" fontId="0" fillId="2" borderId="92" applyAlignment="1" applyProtection="1" pivotButton="0" quotePrefix="0" xfId="0">
      <alignment horizontal="left" vertical="top" wrapText="1"/>
      <protection locked="0" hidden="0"/>
    </xf>
    <xf numFmtId="0" fontId="0" fillId="2" borderId="93" applyAlignment="1" applyProtection="1" pivotButton="0" quotePrefix="0" xfId="0">
      <alignment horizontal="left" vertical="top" wrapText="1"/>
      <protection locked="0" hidden="0"/>
    </xf>
    <xf numFmtId="0" fontId="18" fillId="7" borderId="31" applyAlignment="1" applyProtection="1" pivotButton="0" quotePrefix="0" xfId="9">
      <alignment horizontal="left" vertical="top" wrapText="1"/>
      <protection locked="0" hidden="0"/>
    </xf>
    <xf numFmtId="0" fontId="18" fillId="7" borderId="31" applyAlignment="1" applyProtection="1" pivotButton="0" quotePrefix="0" xfId="0">
      <alignment horizontal="left" vertical="top" wrapText="1"/>
      <protection locked="0" hidden="0"/>
    </xf>
    <xf numFmtId="0" fontId="18" fillId="7" borderId="54" applyAlignment="1" applyProtection="1" pivotButton="0" quotePrefix="0" xfId="0">
      <alignment horizontal="left" vertical="top" wrapText="1"/>
      <protection locked="0" hidden="0"/>
    </xf>
    <xf numFmtId="0" fontId="18" fillId="7" borderId="26" applyAlignment="1" applyProtection="1" pivotButton="0" quotePrefix="0" xfId="0">
      <alignment horizontal="left" vertical="top" wrapText="1"/>
      <protection locked="0" hidden="0"/>
    </xf>
    <xf numFmtId="0" fontId="18" fillId="7" borderId="55" applyAlignment="1" applyProtection="1" pivotButton="0" quotePrefix="0" xfId="0">
      <alignment horizontal="left" vertical="top" wrapText="1"/>
      <protection locked="0" hidden="0"/>
    </xf>
    <xf numFmtId="0" fontId="18" fillId="7" borderId="29" applyAlignment="1" applyProtection="1" pivotButton="0" quotePrefix="0" xfId="0">
      <alignment horizontal="left" vertical="top" wrapText="1"/>
      <protection locked="0" hidden="0"/>
    </xf>
    <xf numFmtId="0" fontId="18" fillId="7" borderId="56" applyAlignment="1" applyProtection="1" pivotButton="0" quotePrefix="0" xfId="0">
      <alignment horizontal="left" vertical="top" wrapText="1"/>
      <protection locked="0" hidden="0"/>
    </xf>
    <xf numFmtId="0" fontId="18" fillId="7" borderId="45" applyAlignment="1" applyProtection="1" pivotButton="0" quotePrefix="0" xfId="9">
      <alignment horizontal="left" vertical="top" wrapText="1"/>
      <protection locked="0" hidden="0"/>
    </xf>
    <xf numFmtId="0" fontId="18" fillId="7" borderId="32" applyAlignment="1" applyProtection="1" pivotButton="0" quotePrefix="0" xfId="0">
      <alignment horizontal="left" vertical="top" wrapText="1"/>
      <protection locked="0" hidden="0"/>
    </xf>
    <xf numFmtId="0" fontId="18" fillId="7" borderId="64" applyAlignment="1" applyProtection="1" pivotButton="0" quotePrefix="0" xfId="0">
      <alignment horizontal="left" vertical="top" wrapText="1"/>
      <protection locked="0" hidden="0"/>
    </xf>
    <xf numFmtId="0" fontId="18" fillId="7" borderId="46" applyAlignment="1" applyProtection="1" pivotButton="0" quotePrefix="0" xfId="0">
      <alignment horizontal="left" vertical="top" wrapText="1"/>
      <protection locked="0" hidden="0"/>
    </xf>
    <xf numFmtId="0" fontId="18" fillId="7" borderId="28" applyAlignment="1" applyProtection="1" pivotButton="0" quotePrefix="0" xfId="0">
      <alignment horizontal="left" vertical="top" wrapText="1"/>
      <protection locked="0" hidden="0"/>
    </xf>
    <xf numFmtId="0" fontId="18" fillId="7" borderId="65" applyAlignment="1" applyProtection="1" pivotButton="0" quotePrefix="0" xfId="0">
      <alignment horizontal="left" vertical="top" wrapText="1"/>
      <protection locked="0" hidden="0"/>
    </xf>
    <xf numFmtId="0" fontId="18" fillId="7" borderId="47" applyAlignment="1" applyProtection="1" pivotButton="0" quotePrefix="0" xfId="0">
      <alignment horizontal="left" vertical="top" wrapText="1"/>
      <protection locked="0" hidden="0"/>
    </xf>
    <xf numFmtId="0" fontId="18" fillId="7" borderId="30" applyAlignment="1" applyProtection="1" pivotButton="0" quotePrefix="0" xfId="0">
      <alignment horizontal="left" vertical="top" wrapText="1"/>
      <protection locked="0" hidden="0"/>
    </xf>
    <xf numFmtId="0" fontId="18" fillId="7" borderId="66" applyAlignment="1" applyProtection="1" pivotButton="0" quotePrefix="0" xfId="0">
      <alignment horizontal="left" vertical="top" wrapText="1"/>
      <protection locked="0" hidden="0"/>
    </xf>
    <xf numFmtId="0" fontId="0" fillId="7" borderId="31" applyAlignment="1" applyProtection="1" pivotButton="0" quotePrefix="0" xfId="9">
      <alignment horizontal="left" vertical="top" wrapText="1"/>
      <protection locked="0" hidden="0"/>
    </xf>
    <xf numFmtId="0" fontId="0" fillId="7" borderId="31" applyAlignment="1" applyProtection="1" pivotButton="0" quotePrefix="0" xfId="0">
      <alignment horizontal="left" vertical="top" wrapText="1"/>
      <protection locked="0" hidden="0"/>
    </xf>
    <xf numFmtId="0" fontId="0" fillId="7" borderId="54" applyAlignment="1" applyProtection="1" pivotButton="0" quotePrefix="0" xfId="0">
      <alignment horizontal="left" vertical="top" wrapText="1"/>
      <protection locked="0" hidden="0"/>
    </xf>
    <xf numFmtId="0" fontId="0" fillId="7" borderId="26" applyAlignment="1" applyProtection="1" pivotButton="0" quotePrefix="0" xfId="0">
      <alignment horizontal="left" vertical="top" wrapText="1"/>
      <protection locked="0" hidden="0"/>
    </xf>
    <xf numFmtId="0" fontId="0" fillId="7" borderId="55" applyAlignment="1" applyProtection="1" pivotButton="0" quotePrefix="0" xfId="0">
      <alignment horizontal="left" vertical="top" wrapText="1"/>
      <protection locked="0" hidden="0"/>
    </xf>
    <xf numFmtId="0" fontId="0" fillId="7" borderId="45" applyAlignment="1" applyProtection="1" pivotButton="0" quotePrefix="0" xfId="9">
      <alignment horizontal="left" vertical="top" wrapText="1"/>
      <protection locked="0" hidden="0"/>
    </xf>
    <xf numFmtId="0" fontId="0" fillId="7" borderId="32" applyAlignment="1" applyProtection="1" pivotButton="0" quotePrefix="0" xfId="0">
      <alignment horizontal="left" vertical="top" wrapText="1"/>
      <protection locked="0" hidden="0"/>
    </xf>
    <xf numFmtId="0" fontId="0" fillId="7" borderId="64" applyAlignment="1" applyProtection="1" pivotButton="0" quotePrefix="0" xfId="0">
      <alignment horizontal="left" vertical="top" wrapText="1"/>
      <protection locked="0" hidden="0"/>
    </xf>
    <xf numFmtId="0" fontId="0" fillId="7" borderId="46" applyAlignment="1" applyProtection="1" pivotButton="0" quotePrefix="0" xfId="0">
      <alignment horizontal="left" vertical="top" wrapText="1"/>
      <protection locked="0" hidden="0"/>
    </xf>
    <xf numFmtId="0" fontId="0" fillId="7" borderId="28" applyAlignment="1" applyProtection="1" pivotButton="0" quotePrefix="0" xfId="0">
      <alignment horizontal="left" vertical="top" wrapText="1"/>
      <protection locked="0" hidden="0"/>
    </xf>
    <xf numFmtId="0" fontId="0" fillId="7" borderId="65" applyAlignment="1" applyProtection="1" pivotButton="0" quotePrefix="0" xfId="0">
      <alignment horizontal="left" vertical="top" wrapText="1"/>
      <protection locked="0" hidden="0"/>
    </xf>
    <xf numFmtId="0" fontId="0" fillId="7" borderId="29" applyAlignment="1" applyProtection="1" pivotButton="0" quotePrefix="0" xfId="0">
      <alignment horizontal="left" vertical="top" wrapText="1"/>
      <protection locked="0" hidden="0"/>
    </xf>
    <xf numFmtId="0" fontId="0" fillId="7" borderId="56" applyAlignment="1" applyProtection="1" pivotButton="0" quotePrefix="0" xfId="0">
      <alignment horizontal="left" vertical="top" wrapText="1"/>
      <protection locked="0" hidden="0"/>
    </xf>
    <xf numFmtId="0" fontId="0" fillId="7" borderId="47" applyAlignment="1" applyProtection="1" pivotButton="0" quotePrefix="0" xfId="0">
      <alignment horizontal="left" vertical="top" wrapText="1"/>
      <protection locked="0" hidden="0"/>
    </xf>
    <xf numFmtId="0" fontId="0" fillId="7" borderId="30" applyAlignment="1" applyProtection="1" pivotButton="0" quotePrefix="0" xfId="0">
      <alignment horizontal="left" vertical="top" wrapText="1"/>
      <protection locked="0" hidden="0"/>
    </xf>
    <xf numFmtId="0" fontId="0" fillId="7" borderId="66" applyAlignment="1" applyProtection="1" pivotButton="0" quotePrefix="0" xfId="0">
      <alignment horizontal="left" vertical="top" wrapText="1"/>
      <protection locked="0" hidden="0"/>
    </xf>
    <xf numFmtId="0" fontId="17" fillId="9" borderId="0" applyAlignment="1" applyProtection="1" pivotButton="0" quotePrefix="0" xfId="0">
      <alignment wrapText="1"/>
      <protection locked="0" hidden="0"/>
    </xf>
    <xf numFmtId="0" fontId="5" fillId="9" borderId="0" applyAlignment="1" applyProtection="1" pivotButton="0" quotePrefix="0" xfId="9">
      <alignment wrapText="1"/>
      <protection locked="0" hidden="0"/>
    </xf>
    <xf numFmtId="0" fontId="0" fillId="9" borderId="0" applyAlignment="1" applyProtection="1" pivotButton="0" quotePrefix="0" xfId="0">
      <alignment wrapText="1"/>
      <protection locked="0" hidden="0"/>
    </xf>
    <xf numFmtId="0" fontId="0" fillId="9" borderId="5" applyAlignment="1" applyProtection="1" pivotButton="0" quotePrefix="0" xfId="0">
      <alignment wrapText="1"/>
      <protection locked="0" hidden="0"/>
    </xf>
    <xf numFmtId="0" fontId="5" fillId="9" borderId="0" applyAlignment="1" applyProtection="1" pivotButton="0" quotePrefix="0" xfId="9">
      <alignment horizontal="left" wrapText="1"/>
      <protection locked="0" hidden="0"/>
    </xf>
    <xf numFmtId="0" fontId="0" fillId="9" borderId="0" applyAlignment="1" applyProtection="1" pivotButton="0" quotePrefix="0" xfId="0">
      <alignment horizontal="left" wrapText="1"/>
      <protection locked="0" hidden="0"/>
    </xf>
    <xf numFmtId="0" fontId="0" fillId="9" borderId="5" applyAlignment="1" applyProtection="1" pivotButton="0" quotePrefix="0" xfId="0">
      <alignment horizontal="left" wrapText="1"/>
      <protection locked="0" hidden="0"/>
    </xf>
    <xf numFmtId="0" fontId="0" fillId="8" borderId="33" applyAlignment="1" applyProtection="1" pivotButton="0" quotePrefix="0" xfId="0">
      <alignment wrapText="1"/>
      <protection locked="0" hidden="0"/>
    </xf>
    <xf numFmtId="0" fontId="0" fillId="8" borderId="53" applyAlignment="1" applyProtection="1" pivotButton="0" quotePrefix="0" xfId="0">
      <alignment wrapText="1"/>
      <protection locked="0" hidden="0"/>
    </xf>
    <xf numFmtId="0" fontId="0" fillId="2" borderId="33" applyAlignment="1" applyProtection="1" pivotButton="0" quotePrefix="0" xfId="0">
      <alignment horizontal="left" vertical="top" wrapText="1"/>
      <protection locked="0" hidden="0"/>
    </xf>
    <xf numFmtId="0" fontId="0" fillId="2" borderId="53" applyAlignment="1" applyProtection="1" pivotButton="0" quotePrefix="0" xfId="0">
      <alignment horizontal="left" vertical="top" wrapText="1"/>
      <protection locked="0" hidden="0"/>
    </xf>
    <xf numFmtId="0" fontId="0" fillId="7" borderId="51" applyAlignment="1" applyProtection="1" pivotButton="0" quotePrefix="0" xfId="9">
      <alignment horizontal="left" vertical="top" wrapText="1"/>
      <protection locked="0" hidden="0"/>
    </xf>
    <xf numFmtId="0" fontId="0" fillId="7" borderId="39" applyAlignment="1" applyProtection="1" pivotButton="0" quotePrefix="0" xfId="0">
      <alignment horizontal="left" vertical="top" wrapText="1"/>
      <protection locked="0" hidden="0"/>
    </xf>
    <xf numFmtId="0" fontId="0" fillId="7" borderId="61" applyAlignment="1" applyProtection="1" pivotButton="0" quotePrefix="0" xfId="0">
      <alignment horizontal="left" vertical="top" wrapText="1"/>
      <protection locked="0" hidden="0"/>
    </xf>
    <xf numFmtId="0" fontId="0" fillId="7" borderId="27" applyAlignment="1" applyProtection="1" pivotButton="0" quotePrefix="0" xfId="0">
      <alignment horizontal="left" vertical="top" wrapText="1"/>
      <protection locked="0" hidden="0"/>
    </xf>
    <xf numFmtId="0" fontId="0" fillId="7" borderId="25" applyAlignment="1" applyProtection="1" pivotButton="0" quotePrefix="0" xfId="0">
      <alignment horizontal="left" vertical="top" wrapText="1"/>
      <protection locked="0" hidden="0"/>
    </xf>
    <xf numFmtId="0" fontId="0" fillId="7" borderId="62" applyAlignment="1" applyProtection="1" pivotButton="0" quotePrefix="0" xfId="0">
      <alignment horizontal="left" vertical="top" wrapText="1"/>
      <protection locked="0" hidden="0"/>
    </xf>
    <xf numFmtId="0" fontId="0" fillId="7" borderId="52" applyAlignment="1" applyProtection="1" pivotButton="0" quotePrefix="0" xfId="0">
      <alignment horizontal="left" vertical="top" wrapText="1"/>
      <protection locked="0" hidden="0"/>
    </xf>
    <xf numFmtId="0" fontId="0" fillId="7" borderId="40" applyAlignment="1" applyProtection="1" pivotButton="0" quotePrefix="0" xfId="0">
      <alignment horizontal="left" vertical="top" wrapText="1"/>
      <protection locked="0" hidden="0"/>
    </xf>
    <xf numFmtId="0" fontId="0" fillId="7" borderId="63" applyAlignment="1" applyProtection="1" pivotButton="0" quotePrefix="0" xfId="0">
      <alignment horizontal="left" vertical="top" wrapText="1"/>
      <protection locked="0" hidden="0"/>
    </xf>
    <xf numFmtId="0" fontId="17" fillId="9" borderId="33" applyAlignment="1" applyProtection="1" pivotButton="0" quotePrefix="0" xfId="0">
      <alignment wrapText="1"/>
      <protection locked="0" hidden="0"/>
    </xf>
    <xf numFmtId="0" fontId="5" fillId="9" borderId="37" applyAlignment="1" applyProtection="1" pivotButton="0" quotePrefix="0" xfId="9">
      <alignment wrapText="1"/>
      <protection locked="0" hidden="0"/>
    </xf>
    <xf numFmtId="0" fontId="0" fillId="9" borderId="38" applyAlignment="1" applyProtection="1" pivotButton="0" quotePrefix="0" xfId="0">
      <alignment wrapText="1"/>
      <protection locked="0" hidden="0"/>
    </xf>
    <xf numFmtId="0" fontId="0" fillId="9" borderId="60" applyAlignment="1" applyProtection="1" pivotButton="0" quotePrefix="0" xfId="0">
      <alignment wrapText="1"/>
      <protection locked="0" hidden="0"/>
    </xf>
    <xf numFmtId="0" fontId="5" fillId="9" borderId="37" applyAlignment="1" applyProtection="1" pivotButton="0" quotePrefix="0" xfId="9">
      <alignment horizontal="left" wrapText="1"/>
      <protection locked="0" hidden="0"/>
    </xf>
    <xf numFmtId="0" fontId="5" fillId="9" borderId="38" applyAlignment="1" applyProtection="1" pivotButton="0" quotePrefix="0" xfId="9">
      <alignment horizontal="left" wrapText="1"/>
      <protection locked="0" hidden="0"/>
    </xf>
    <xf numFmtId="0" fontId="0" fillId="9" borderId="38" applyAlignment="1" applyProtection="1" pivotButton="0" quotePrefix="0" xfId="0">
      <alignment horizontal="left" wrapText="1"/>
      <protection locked="0" hidden="0"/>
    </xf>
    <xf numFmtId="0" fontId="0" fillId="9" borderId="60" applyAlignment="1" applyProtection="1" pivotButton="0" quotePrefix="0" xfId="0">
      <alignment horizontal="left" wrapText="1"/>
      <protection locked="0" hidden="0"/>
    </xf>
    <xf numFmtId="0" fontId="23" fillId="0" borderId="0" applyAlignment="1" applyProtection="1" pivotButton="0" quotePrefix="0" xfId="0">
      <alignment horizontal="left" wrapText="1"/>
      <protection locked="0" hidden="0"/>
    </xf>
    <xf numFmtId="0" fontId="41" fillId="10" borderId="0" applyAlignment="1" applyProtection="1" pivotButton="0" quotePrefix="0" xfId="0">
      <alignment horizontal="right" vertical="center"/>
      <protection locked="0" hidden="0"/>
    </xf>
    <xf numFmtId="0" fontId="41" fillId="10" borderId="96" applyAlignment="1" applyProtection="1" pivotButton="0" quotePrefix="0" xfId="0">
      <alignment horizontal="right" vertical="center"/>
      <protection locked="0" hidden="0"/>
    </xf>
    <xf numFmtId="164" fontId="5" fillId="10" borderId="0" applyAlignment="1" applyProtection="1" pivotButton="0" quotePrefix="0" xfId="9">
      <alignment horizontal="center" vertical="center" wrapText="1"/>
      <protection locked="0" hidden="0"/>
    </xf>
    <xf numFmtId="0" fontId="0" fillId="10" borderId="0" applyAlignment="1" applyProtection="1" pivotButton="0" quotePrefix="0" xfId="0">
      <alignment horizontal="center" vertical="center" wrapText="1"/>
      <protection locked="0" hidden="0"/>
    </xf>
    <xf numFmtId="0" fontId="0" fillId="7" borderId="39" applyAlignment="1" applyProtection="1" pivotButton="0" quotePrefix="0" xfId="9">
      <alignment horizontal="left" vertical="top" wrapText="1"/>
      <protection locked="0" hidden="0"/>
    </xf>
    <xf numFmtId="0" fontId="0" fillId="7" borderId="61" applyAlignment="1" applyProtection="1" pivotButton="0" quotePrefix="0" xfId="9">
      <alignment horizontal="left" vertical="top" wrapText="1"/>
      <protection locked="0" hidden="0"/>
    </xf>
    <xf numFmtId="0" fontId="0" fillId="7" borderId="27" applyAlignment="1" applyProtection="1" pivotButton="0" quotePrefix="0" xfId="9">
      <alignment horizontal="left" vertical="top" wrapText="1"/>
      <protection locked="0" hidden="0"/>
    </xf>
    <xf numFmtId="0" fontId="0" fillId="7" borderId="25" applyAlignment="1" applyProtection="1" pivotButton="0" quotePrefix="0" xfId="9">
      <alignment horizontal="left" vertical="top" wrapText="1"/>
      <protection locked="0" hidden="0"/>
    </xf>
    <xf numFmtId="0" fontId="0" fillId="7" borderId="62" applyAlignment="1" applyProtection="1" pivotButton="0" quotePrefix="0" xfId="9">
      <alignment horizontal="left" vertical="top" wrapText="1"/>
      <protection locked="0" hidden="0"/>
    </xf>
    <xf numFmtId="0" fontId="0" fillId="7" borderId="52" applyAlignment="1" applyProtection="1" pivotButton="0" quotePrefix="0" xfId="9">
      <alignment horizontal="left" vertical="top" wrapText="1"/>
      <protection locked="0" hidden="0"/>
    </xf>
    <xf numFmtId="0" fontId="0" fillId="7" borderId="40" applyAlignment="1" applyProtection="1" pivotButton="0" quotePrefix="0" xfId="9">
      <alignment horizontal="left" vertical="top" wrapText="1"/>
      <protection locked="0" hidden="0"/>
    </xf>
    <xf numFmtId="0" fontId="0" fillId="7" borderId="63" applyAlignment="1" applyProtection="1" pivotButton="0" quotePrefix="0" xfId="9">
      <alignment horizontal="left" vertical="top" wrapText="1"/>
      <protection locked="0" hidden="0"/>
    </xf>
    <xf numFmtId="0" fontId="5" fillId="0" borderId="91" applyAlignment="1" applyProtection="1" pivotButton="0" quotePrefix="0" xfId="9">
      <alignment wrapText="1"/>
      <protection locked="0" hidden="0"/>
    </xf>
    <xf numFmtId="0" fontId="0" fillId="0" borderId="91" applyAlignment="1" applyProtection="1" pivotButton="0" quotePrefix="0" xfId="0">
      <alignment wrapText="1"/>
      <protection locked="0" hidden="0"/>
    </xf>
    <xf numFmtId="1" fontId="5" fillId="0" borderId="9" applyAlignment="1" applyProtection="1" pivotButton="0" quotePrefix="0" xfId="9">
      <alignment vertical="center" wrapText="1"/>
      <protection locked="0" hidden="0"/>
    </xf>
    <xf numFmtId="0" fontId="0" fillId="0" borderId="9" applyAlignment="1" applyProtection="1" pivotButton="0" quotePrefix="0" xfId="0">
      <alignment vertical="center" wrapText="1"/>
      <protection locked="0" hidden="0"/>
    </xf>
    <xf numFmtId="1" fontId="11" fillId="0" borderId="0" applyAlignment="1" applyProtection="1" pivotButton="0" quotePrefix="0" xfId="0">
      <alignment vertical="center" wrapText="1"/>
      <protection locked="0" hidden="0"/>
    </xf>
    <xf numFmtId="0" fontId="0" fillId="0" borderId="0" applyAlignment="1" applyProtection="1" pivotButton="0" quotePrefix="0" xfId="0">
      <alignment vertical="center" wrapText="1"/>
      <protection locked="0" hidden="0"/>
    </xf>
    <xf numFmtId="0" fontId="0" fillId="7" borderId="48" applyAlignment="1" applyProtection="1" pivotButton="0" quotePrefix="0" xfId="9">
      <alignment horizontal="left" vertical="top" wrapText="1"/>
      <protection locked="0" hidden="0"/>
    </xf>
    <xf numFmtId="0" fontId="0" fillId="7" borderId="35" applyAlignment="1" applyProtection="1" pivotButton="0" quotePrefix="0" xfId="0">
      <alignment horizontal="left" vertical="top" wrapText="1"/>
      <protection locked="0" hidden="0"/>
    </xf>
    <xf numFmtId="0" fontId="0" fillId="7" borderId="57" applyAlignment="1" applyProtection="1" pivotButton="0" quotePrefix="0" xfId="0">
      <alignment horizontal="left" vertical="top" wrapText="1"/>
      <protection locked="0" hidden="0"/>
    </xf>
    <xf numFmtId="0" fontId="0" fillId="7" borderId="49" applyAlignment="1" applyProtection="1" pivotButton="0" quotePrefix="0" xfId="0">
      <alignment horizontal="left" vertical="top" wrapText="1"/>
      <protection locked="0" hidden="0"/>
    </xf>
    <xf numFmtId="0" fontId="0" fillId="7" borderId="24" applyAlignment="1" applyProtection="1" pivotButton="0" quotePrefix="0" xfId="0">
      <alignment horizontal="left" vertical="top" wrapText="1"/>
      <protection locked="0" hidden="0"/>
    </xf>
    <xf numFmtId="0" fontId="0" fillId="7" borderId="58" applyAlignment="1" applyProtection="1" pivotButton="0" quotePrefix="0" xfId="0">
      <alignment horizontal="left" vertical="top" wrapText="1"/>
      <protection locked="0" hidden="0"/>
    </xf>
    <xf numFmtId="0" fontId="0" fillId="7" borderId="50" applyAlignment="1" applyProtection="1" pivotButton="0" quotePrefix="0" xfId="0">
      <alignment horizontal="left" vertical="top" wrapText="1"/>
      <protection locked="0" hidden="0"/>
    </xf>
    <xf numFmtId="0" fontId="0" fillId="7" borderId="36" applyAlignment="1" applyProtection="1" pivotButton="0" quotePrefix="0" xfId="0">
      <alignment horizontal="left" vertical="top" wrapText="1"/>
      <protection locked="0" hidden="0"/>
    </xf>
    <xf numFmtId="0" fontId="0" fillId="7" borderId="59" applyAlignment="1" applyProtection="1" pivotButton="0" quotePrefix="0" xfId="0">
      <alignment horizontal="left" vertical="top" wrapText="1"/>
      <protection locked="0" hidden="0"/>
    </xf>
    <xf numFmtId="0" fontId="0" fillId="0" borderId="0" applyProtection="1" pivotButton="0" quotePrefix="0" xfId="0">
      <protection locked="0" hidden="0"/>
    </xf>
    <xf numFmtId="0" fontId="0" fillId="0" borderId="19" applyProtection="1" pivotButton="0" quotePrefix="0" xfId="0">
      <protection locked="0" hidden="0"/>
    </xf>
    <xf numFmtId="0" fontId="0" fillId="0" borderId="21" applyProtection="1" pivotButton="0" quotePrefix="0" xfId="0">
      <protection locked="0" hidden="0"/>
    </xf>
    <xf numFmtId="0" fontId="0" fillId="0" borderId="5" applyProtection="1" pivotButton="0" quotePrefix="0" xfId="0">
      <protection locked="0" hidden="0"/>
    </xf>
    <xf numFmtId="0" fontId="2" fillId="0" borderId="12" applyAlignment="1" applyProtection="1" pivotButton="0" quotePrefix="0" xfId="0">
      <alignment vertical="center"/>
      <protection locked="0" hidden="0"/>
    </xf>
    <xf numFmtId="0" fontId="0" fillId="0" borderId="20" applyProtection="1" pivotButton="0" quotePrefix="0" xfId="0">
      <protection locked="0" hidden="0"/>
    </xf>
    <xf numFmtId="0" fontId="0" fillId="0" borderId="23" applyProtection="1" pivotButton="0" quotePrefix="0" xfId="0">
      <protection locked="0" hidden="0"/>
    </xf>
    <xf numFmtId="0" fontId="0" fillId="7" borderId="112" applyAlignment="1" applyProtection="1" pivotButton="0" quotePrefix="0" xfId="0">
      <alignment horizontal="left" vertical="top" wrapText="1"/>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2" fillId="0" borderId="12" applyAlignment="1" applyProtection="1" pivotButton="0" quotePrefix="0" xfId="0">
      <alignment vertical="top"/>
      <protection locked="0" hidden="0"/>
    </xf>
    <xf numFmtId="0" fontId="17" fillId="5" borderId="12" applyAlignment="1" applyProtection="1" pivotButton="0" quotePrefix="0" xfId="10">
      <alignment vertical="top" wrapText="1"/>
      <protection locked="0" hidden="0"/>
    </xf>
    <xf numFmtId="49" fontId="0" fillId="5" borderId="112" applyAlignment="1" applyProtection="1" pivotButton="0" quotePrefix="0" xfId="10">
      <alignment horizontal="left" vertical="top" wrapText="1"/>
      <protection locked="0" hidden="0"/>
    </xf>
    <xf numFmtId="0" fontId="0" fillId="0" borderId="2" applyProtection="1" pivotButton="0" quotePrefix="0" xfId="0">
      <protection locked="0" hidden="0"/>
    </xf>
    <xf numFmtId="0" fontId="0" fillId="7" borderId="12" applyAlignment="1" applyProtection="1" pivotButton="0" quotePrefix="0" xfId="0">
      <alignment horizontal="left" vertical="top" wrapText="1"/>
      <protection locked="0" hidden="0"/>
    </xf>
    <xf numFmtId="0" fontId="47" fillId="11" borderId="12" applyAlignment="1" applyProtection="1" pivotButton="0" quotePrefix="0" xfId="9">
      <alignment horizontal="center" vertical="center" wrapText="1"/>
      <protection locked="0" hidden="0"/>
    </xf>
    <xf numFmtId="164" fontId="5" fillId="4" borderId="113" applyAlignment="1" applyProtection="1" pivotButton="0" quotePrefix="0" xfId="9">
      <alignment vertical="top" wrapText="1"/>
      <protection locked="0" hidden="0"/>
    </xf>
    <xf numFmtId="0" fontId="0" fillId="0" borderId="114" applyProtection="1" pivotButton="0" quotePrefix="0" xfId="0">
      <protection locked="0" hidden="0"/>
    </xf>
    <xf numFmtId="164" fontId="5" fillId="4" borderId="114" applyAlignment="1" applyProtection="1" pivotButton="0" quotePrefix="0" xfId="9">
      <alignment horizontal="left" vertical="top" wrapText="1"/>
      <protection locked="0" hidden="0"/>
    </xf>
    <xf numFmtId="164" fontId="5" fillId="4" borderId="110" applyAlignment="1" applyProtection="1" pivotButton="0" quotePrefix="0" xfId="9">
      <alignment vertical="top" wrapText="1"/>
      <protection locked="0" hidden="0"/>
    </xf>
    <xf numFmtId="0" fontId="0" fillId="0" borderId="77" applyProtection="1" pivotButton="0" quotePrefix="0" xfId="0">
      <protection locked="0" hidden="0"/>
    </xf>
    <xf numFmtId="164" fontId="5" fillId="4" borderId="110" applyAlignment="1" applyProtection="1" pivotButton="0" quotePrefix="0" xfId="9">
      <alignment horizontal="left" vertical="top" wrapText="1"/>
      <protection locked="0" hidden="0"/>
    </xf>
    <xf numFmtId="0" fontId="0" fillId="0" borderId="91" applyProtection="1" pivotButton="0" quotePrefix="0" xfId="0">
      <protection locked="0" hidden="0"/>
    </xf>
    <xf numFmtId="0" fontId="0" fillId="0" borderId="94" applyProtection="1" pivotButton="0" quotePrefix="0" xfId="0">
      <protection locked="0" hidden="0"/>
    </xf>
    <xf numFmtId="0" fontId="42" fillId="11" borderId="12" applyAlignment="1" applyProtection="1" pivotButton="0" quotePrefix="0" xfId="0">
      <alignment horizontal="center" vertical="center"/>
      <protection locked="0" hidden="0"/>
    </xf>
    <xf numFmtId="0" fontId="0" fillId="0" borderId="96" applyProtection="1" pivotButton="0" quotePrefix="0" xfId="0">
      <protection locked="0" hidden="0"/>
    </xf>
    <xf numFmtId="0" fontId="0" fillId="0" borderId="41" applyProtection="1" pivotButton="0" quotePrefix="0" xfId="0">
      <protection locked="0" hidden="0"/>
    </xf>
    <xf numFmtId="0" fontId="0" fillId="0" borderId="42" applyProtection="1" pivotButton="0" quotePrefix="0" xfId="0">
      <protection locked="0" hidden="0"/>
    </xf>
    <xf numFmtId="0" fontId="0" fillId="0" borderId="109" applyProtection="1" pivotButton="0" quotePrefix="0" xfId="0">
      <protection locked="0" hidden="0"/>
    </xf>
    <xf numFmtId="0" fontId="0" fillId="0" borderId="71" applyProtection="1" pivotButton="0" quotePrefix="0" xfId="0">
      <protection locked="0" hidden="0"/>
    </xf>
    <xf numFmtId="0" fontId="0" fillId="8" borderId="53" applyAlignment="1" applyProtection="1" pivotButton="0" quotePrefix="0" xfId="9">
      <alignment horizontal="left" wrapText="1"/>
      <protection locked="0" hidden="0"/>
    </xf>
    <xf numFmtId="0" fontId="0" fillId="0" borderId="33" applyProtection="1" pivotButton="0" quotePrefix="0" xfId="0">
      <protection locked="0" hidden="0"/>
    </xf>
    <xf numFmtId="0" fontId="0" fillId="0" borderId="53" applyProtection="1" pivotButton="0" quotePrefix="0" xfId="0">
      <protection locked="0" hidden="0"/>
    </xf>
    <xf numFmtId="0" fontId="5" fillId="8" borderId="53" applyAlignment="1" applyProtection="1" pivotButton="0" quotePrefix="0" xfId="9">
      <alignment horizontal="left" wrapText="1"/>
      <protection locked="0" hidden="0"/>
    </xf>
    <xf numFmtId="0" fontId="0" fillId="0" borderId="92" applyProtection="1" pivotButton="0" quotePrefix="0" xfId="0">
      <protection locked="0" hidden="0"/>
    </xf>
    <xf numFmtId="0" fontId="0" fillId="0" borderId="93" applyProtection="1" pivotButton="0" quotePrefix="0" xfId="0">
      <protection locked="0" hidden="0"/>
    </xf>
    <xf numFmtId="0" fontId="18" fillId="7" borderId="54" applyAlignment="1" applyProtection="1" pivotButton="0" quotePrefix="0" xfId="9">
      <alignment horizontal="left" vertical="top" wrapText="1"/>
      <protection locked="0" hidden="0"/>
    </xf>
    <xf numFmtId="0" fontId="0" fillId="0" borderId="106" applyProtection="1" pivotButton="0" quotePrefix="0" xfId="0">
      <protection locked="0" hidden="0"/>
    </xf>
    <xf numFmtId="0" fontId="0" fillId="0" borderId="31" applyProtection="1" pivotButton="0" quotePrefix="0" xfId="0">
      <protection locked="0" hidden="0"/>
    </xf>
    <xf numFmtId="0" fontId="0" fillId="0" borderId="54" applyProtection="1" pivotButton="0" quotePrefix="0" xfId="0">
      <protection locked="0" hidden="0"/>
    </xf>
    <xf numFmtId="0" fontId="0" fillId="0" borderId="107" applyProtection="1" pivotButton="0" quotePrefix="0" xfId="0">
      <protection locked="0" hidden="0"/>
    </xf>
    <xf numFmtId="0" fontId="0" fillId="0" borderId="45" applyProtection="1" pivotButton="0" quotePrefix="0" xfId="0">
      <protection locked="0" hidden="0"/>
    </xf>
    <xf numFmtId="0" fontId="0" fillId="7" borderId="54" applyAlignment="1" applyProtection="1" pivotButton="0" quotePrefix="0" xfId="9">
      <alignment horizontal="left" vertical="top" wrapText="1"/>
      <protection locked="0" hidden="0"/>
    </xf>
    <xf numFmtId="0" fontId="5" fillId="9" borderId="5" applyAlignment="1" applyProtection="1" pivotButton="0" quotePrefix="0" xfId="9">
      <alignment wrapText="1"/>
      <protection locked="0" hidden="0"/>
    </xf>
    <xf numFmtId="0" fontId="5" fillId="9" borderId="5" applyAlignment="1" applyProtection="1" pivotButton="0" quotePrefix="0" xfId="9">
      <alignment horizontal="left" wrapText="1"/>
      <protection locked="0" hidden="0"/>
    </xf>
    <xf numFmtId="0" fontId="0" fillId="0" borderId="102" applyProtection="1" pivotButton="0" quotePrefix="0" xfId="0">
      <protection locked="0" hidden="0"/>
    </xf>
    <xf numFmtId="0" fontId="0" fillId="0" borderId="103" applyProtection="1" pivotButton="0" quotePrefix="0" xfId="0">
      <protection locked="0" hidden="0"/>
    </xf>
    <xf numFmtId="0" fontId="0" fillId="0" borderId="48" applyProtection="1" pivotButton="0" quotePrefix="0" xfId="0">
      <protection locked="0" hidden="0"/>
    </xf>
    <xf numFmtId="0" fontId="0" fillId="0" borderId="37" applyProtection="1" pivotButton="0" quotePrefix="0" xfId="0">
      <protection locked="0" hidden="0"/>
    </xf>
    <xf numFmtId="0" fontId="0" fillId="0" borderId="105" applyProtection="1" pivotButton="0" quotePrefix="0" xfId="0">
      <protection locked="0" hidden="0"/>
    </xf>
    <xf numFmtId="0" fontId="0" fillId="0" borderId="51" applyProtection="1" pivotButton="0" quotePrefix="0" xfId="0">
      <protection locked="0" hidden="0"/>
    </xf>
    <xf numFmtId="0" fontId="0" fillId="0" borderId="10" applyProtection="1" pivotButton="0" quotePrefix="0" xfId="0">
      <protection locked="0" hidden="0"/>
    </xf>
    <xf numFmtId="0" fontId="0" fillId="0" borderId="9" applyProtection="1" pivotButton="0" quotePrefix="0" xfId="0">
      <protection locked="0" hidden="0"/>
    </xf>
  </cellXfs>
  <cellStyles count="12">
    <cellStyle name="Normal" xfId="0" builtinId="0"/>
    <cellStyle name="Standaard 2" xfId="1"/>
    <cellStyle name="Standaard 23" xfId="2"/>
    <cellStyle name="Standaard 2 2" xfId="3"/>
    <cellStyle name="Normal 3" xfId="4"/>
    <cellStyle name="Percent 2" xfId="5"/>
    <cellStyle name="Normal 2" xfId="6"/>
    <cellStyle name="Normal 2 2" xfId="7"/>
    <cellStyle name="Heading 2" xfId="8" builtinId="17"/>
    <cellStyle name="20% - Accent1" xfId="9" builtinId="30"/>
    <cellStyle name="40% - Accent1" xfId="10" builtinId="31"/>
    <cellStyle name="Percent" xfId="11" builtinId="5"/>
  </cellStyles>
  <dxfs count="9">
    <dxf>
      <font>
        <color theme="1"/>
      </font>
      <fill>
        <patternFill>
          <bgColor rgb="FF92D050"/>
        </patternFill>
      </fill>
    </dxf>
    <dxf>
      <fill>
        <patternFill>
          <bgColor rgb="FF92D050"/>
        </patternFill>
      </fill>
    </dxf>
    <dxf>
      <font>
        <color theme="0"/>
      </font>
      <fill>
        <patternFill>
          <bgColor rgb="FFFF0000"/>
        </patternFill>
      </fill>
    </dxf>
    <dxf>
      <font>
        <color theme="1"/>
      </font>
      <fill>
        <patternFill>
          <bgColor theme="6"/>
        </patternFill>
      </fill>
    </dxf>
    <dxf>
      <font>
        <condense val="0"/>
        <color rgb="FF9C0006"/>
        <extend val="0"/>
      </font>
      <fill>
        <patternFill>
          <bgColor rgb="FFFFC7CE"/>
        </patternFill>
      </fill>
    </dxf>
    <dxf>
      <fill>
        <patternFill>
          <bgColor rgb="FFFF0000"/>
        </patternFill>
      </fill>
    </dxf>
    <dxf>
      <fill>
        <patternFill>
          <bgColor rgb="FF00B050"/>
        </patternFill>
      </fill>
    </dxf>
    <dxf>
      <fill>
        <patternFill>
          <bgColor rgb="FF00B050"/>
        </patternFill>
      </fill>
    </dxf>
    <dxf>
      <fill>
        <patternFill>
          <bgColor rgb="FF00B050"/>
        </patternFill>
      </fill>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V132"/>
  <sheetViews>
    <sheetView showGridLines="0" tabSelected="1" topLeftCell="A5" zoomScale="90" zoomScaleNormal="90" workbookViewId="0">
      <selection activeCell="K8" sqref="K8"/>
    </sheetView>
  </sheetViews>
  <sheetFormatPr baseColWidth="8" defaultColWidth="0" defaultRowHeight="11.5" zeroHeight="1"/>
  <cols>
    <col width="2.1796875" customWidth="1" style="211" min="1" max="1"/>
    <col width="5.453125" customWidth="1" style="211" min="2" max="3"/>
    <col width="44" customWidth="1" style="211" min="4" max="4"/>
    <col width="14.54296875" customWidth="1" style="211" min="5" max="5"/>
    <col width="15" customWidth="1" style="211" min="6" max="6"/>
    <col width="15.54296875" customWidth="1" style="211" min="7" max="12"/>
    <col width="16.453125" customWidth="1" style="211" min="13" max="13"/>
    <col width="7.54296875" customWidth="1" style="211" min="14" max="14"/>
    <col width="5.453125" customWidth="1" style="211" min="15" max="15"/>
    <col width="26.7265625" customWidth="1" style="211" min="16" max="16"/>
    <col width="1.453125" customWidth="1" style="211" min="17" max="17"/>
    <col width="10.1796875" customWidth="1" style="211" min="18" max="18"/>
    <col hidden="1" style="211" min="19" max="22"/>
    <col hidden="1" width="9.1796875" customWidth="1" style="211" min="23" max="16384"/>
  </cols>
  <sheetData>
    <row r="2" ht="54.75" customFormat="1" customHeight="1" s="27">
      <c r="B2" s="24" t="n"/>
      <c r="C2" s="25" t="n"/>
      <c r="D2" s="25" t="n"/>
      <c r="E2" s="25" t="n"/>
      <c r="F2" s="25" t="n"/>
      <c r="G2" s="25" t="n"/>
      <c r="H2" s="25" t="n"/>
      <c r="I2" s="26" t="inlineStr">
        <is>
          <t>Performance Review</t>
        </is>
      </c>
      <c r="J2" s="25" t="n"/>
      <c r="K2" s="25" t="n"/>
      <c r="L2" s="25" t="n"/>
      <c r="M2" s="25" t="n"/>
      <c r="N2" s="25" t="n"/>
      <c r="O2" s="25" t="n"/>
      <c r="P2" s="25" t="n"/>
      <c r="Q2" s="24" t="n"/>
    </row>
    <row r="3" ht="30.75" customHeight="1">
      <c r="B3" s="28" t="n"/>
      <c r="C3" s="29" t="n"/>
      <c r="D3" s="29" t="n"/>
      <c r="E3" s="29" t="n"/>
      <c r="F3" s="29" t="n"/>
      <c r="G3" s="29" t="n"/>
      <c r="H3" s="30" t="n"/>
      <c r="I3" s="30" t="n"/>
      <c r="J3" s="30" t="n"/>
      <c r="K3" s="29" t="n"/>
      <c r="L3" s="29" t="n"/>
      <c r="M3" s="29" t="n"/>
      <c r="N3" s="29" t="n"/>
      <c r="O3" s="29" t="n"/>
      <c r="P3" s="29" t="n"/>
      <c r="Q3" s="31" t="n"/>
    </row>
    <row r="4" ht="30.75" customHeight="1">
      <c r="B4" s="32" t="n"/>
      <c r="C4" s="198" t="n"/>
      <c r="D4" s="324" t="n"/>
      <c r="F4" s="314" t="n"/>
      <c r="G4" s="314" t="n"/>
      <c r="H4" s="34" t="n"/>
      <c r="I4" s="35" t="inlineStr">
        <is>
          <t>Performance Period:  1 January to 31 December</t>
        </is>
      </c>
      <c r="J4" s="34" t="n"/>
      <c r="K4" s="314" t="n"/>
      <c r="L4" s="314" t="n"/>
      <c r="M4" s="36" t="inlineStr">
        <is>
          <t>Completion date:</t>
        </is>
      </c>
      <c r="N4" s="12" t="n"/>
      <c r="O4" s="12" t="n"/>
      <c r="P4" s="37" t="n"/>
      <c r="Q4" s="38" t="n"/>
    </row>
    <row r="5" ht="35.5" customFormat="1" customHeight="1" s="44" thickBot="1">
      <c r="B5" s="39" t="n"/>
      <c r="C5" s="200" t="inlineStr">
        <is>
          <t>Name</t>
        </is>
      </c>
      <c r="D5" s="325" t="n"/>
      <c r="E5" s="201" t="inlineStr">
        <is>
          <t>Octavia Pipeline</t>
        </is>
      </c>
      <c r="F5" s="325" t="n"/>
      <c r="G5" s="325" t="n"/>
      <c r="H5" s="325" t="n"/>
      <c r="I5" s="40" t="n"/>
      <c r="J5" s="41" t="inlineStr">
        <is>
          <t>Date objective setting</t>
        </is>
      </c>
      <c r="K5" s="42" t="n"/>
      <c r="L5" s="202" t="n">
        <v>44566</v>
      </c>
      <c r="M5" s="325" t="n"/>
      <c r="N5" s="43" t="n"/>
      <c r="Q5" s="45" t="n"/>
    </row>
    <row r="6" ht="35.5" customFormat="1" customHeight="1" s="44" thickBot="1" thickTop="1">
      <c r="B6" s="39" t="n"/>
      <c r="C6" s="41" t="inlineStr">
        <is>
          <t>Department</t>
        </is>
      </c>
      <c r="D6" s="41" t="n"/>
      <c r="E6" s="203" t="inlineStr">
        <is>
          <t>R&amp;D</t>
        </is>
      </c>
      <c r="F6" s="326" t="n"/>
      <c r="G6" s="326" t="n"/>
      <c r="H6" s="326" t="n"/>
      <c r="I6" s="40" t="n"/>
      <c r="J6" s="46" t="inlineStr">
        <is>
          <t>Date mid-year review</t>
        </is>
      </c>
      <c r="K6" s="47" t="n"/>
      <c r="L6" s="172" t="n">
        <v>44752</v>
      </c>
      <c r="M6" s="326" t="n"/>
      <c r="N6" s="43" t="n"/>
      <c r="Q6" s="45" t="n"/>
    </row>
    <row r="7" ht="35.5" customFormat="1" customHeight="1" s="44" thickBot="1" thickTop="1">
      <c r="B7" s="39" t="n"/>
      <c r="C7" s="41" t="inlineStr">
        <is>
          <t>Position</t>
        </is>
      </c>
      <c r="D7" s="41" t="n"/>
      <c r="E7" s="203" t="inlineStr">
        <is>
          <t>Senior Engineer</t>
        </is>
      </c>
      <c r="F7" s="326" t="n"/>
      <c r="G7" s="326" t="n"/>
      <c r="H7" s="326" t="n"/>
      <c r="I7" s="40" t="n"/>
      <c r="J7" s="46" t="inlineStr">
        <is>
          <t>Date end year review</t>
        </is>
      </c>
      <c r="K7" s="47" t="n"/>
      <c r="L7" s="172" t="n">
        <v>44921</v>
      </c>
      <c r="M7" s="326" t="n"/>
      <c r="N7" s="43" t="n"/>
      <c r="Q7" s="45" t="n"/>
    </row>
    <row r="8" ht="35.5" customFormat="1" customHeight="1" s="44" thickBot="1" thickTop="1">
      <c r="B8" s="39" t="n"/>
      <c r="C8" s="41" t="inlineStr">
        <is>
          <t>IDE category</t>
        </is>
      </c>
      <c r="D8" s="41" t="n"/>
      <c r="E8" s="212" t="inlineStr">
        <is>
          <t>D.</t>
        </is>
      </c>
      <c r="F8" s="326" t="n"/>
      <c r="G8" s="326" t="n"/>
      <c r="H8" s="326" t="n"/>
      <c r="I8" s="40" t="n"/>
      <c r="J8" s="48" t="n"/>
      <c r="Q8" s="45" t="n"/>
    </row>
    <row r="9" ht="35.5" customFormat="1" customHeight="1" s="44" thickBot="1" thickTop="1">
      <c r="B9" s="39" t="n"/>
      <c r="C9" s="41" t="inlineStr">
        <is>
          <t>Manager</t>
        </is>
      </c>
      <c r="D9" s="41" t="n"/>
      <c r="E9" s="203" t="inlineStr">
        <is>
          <t>General GPU</t>
        </is>
      </c>
      <c r="F9" s="326" t="n"/>
      <c r="G9" s="326" t="n"/>
      <c r="H9" s="326" t="n"/>
      <c r="I9" s="40" t="n"/>
      <c r="Q9" s="45" t="n"/>
    </row>
    <row r="10" ht="28.5" customFormat="1" customHeight="1" s="44" thickTop="1">
      <c r="B10" s="39" t="n"/>
      <c r="E10" s="48" t="n"/>
      <c r="F10" s="48" t="n"/>
      <c r="G10" s="48" t="n"/>
      <c r="Q10" s="45" t="n"/>
    </row>
    <row r="11" ht="24.75" customFormat="1" customHeight="1" s="44">
      <c r="B11" s="39" t="n"/>
      <c r="E11" s="173" t="inlineStr">
        <is>
          <t>Final rating mid-year review:</t>
        </is>
      </c>
      <c r="F11" s="324" t="n"/>
      <c r="G11" s="324" t="n"/>
      <c r="J11" s="173" t="inlineStr">
        <is>
          <t>Final rating end year review:</t>
        </is>
      </c>
      <c r="K11" s="324" t="n"/>
      <c r="L11" s="324" t="n"/>
      <c r="M11" s="48" t="n"/>
      <c r="Q11" s="45" t="n"/>
    </row>
    <row r="12" ht="6" customFormat="1" customHeight="1" s="44">
      <c r="B12" s="39" t="n"/>
      <c r="E12" s="49" t="n"/>
      <c r="J12" s="174" t="inlineStr"/>
      <c r="K12" s="324" t="n"/>
      <c r="L12" s="324" t="n"/>
      <c r="M12" s="174" t="n"/>
      <c r="Q12" s="45" t="n"/>
    </row>
    <row r="13" ht="28.5" customFormat="1" customHeight="1" s="44">
      <c r="B13" s="39" t="n"/>
      <c r="D13" s="175" t="inlineStr">
        <is>
          <t>Targets (WHAT)</t>
        </is>
      </c>
      <c r="E13" s="51" t="n">
        <v>3.1</v>
      </c>
      <c r="F13" s="51" t="n">
        <v>3.2</v>
      </c>
      <c r="G13" s="51" t="n">
        <v>3.3</v>
      </c>
      <c r="H13" s="176" t="n"/>
      <c r="I13" s="175" t="inlineStr">
        <is>
          <t>Targets (WHAT)</t>
        </is>
      </c>
      <c r="J13" s="51" t="n">
        <v>3.1</v>
      </c>
      <c r="K13" s="51" t="n">
        <v>3.2</v>
      </c>
      <c r="L13" s="51" t="n">
        <v>3.3</v>
      </c>
      <c r="Q13" s="45" t="n"/>
    </row>
    <row r="14" ht="28.5" customFormat="1" customHeight="1" s="44">
      <c r="B14" s="39" t="n"/>
      <c r="D14" s="327" t="n"/>
      <c r="E14" s="51" t="n">
        <v>2.1</v>
      </c>
      <c r="F14" s="51" t="n">
        <v>2.2</v>
      </c>
      <c r="G14" s="51" t="n">
        <v>2.3</v>
      </c>
      <c r="H14" s="324" t="n"/>
      <c r="I14" s="327" t="n"/>
      <c r="J14" s="51" t="n">
        <v>2.1</v>
      </c>
      <c r="K14" s="51" t="n">
        <v>2.2</v>
      </c>
      <c r="L14" s="51" t="n">
        <v>2.3</v>
      </c>
      <c r="Q14" s="45" t="n"/>
    </row>
    <row r="15" ht="28.5" customFormat="1" customHeight="1" s="44">
      <c r="B15" s="39" t="n"/>
      <c r="D15" s="327" t="n"/>
      <c r="E15" s="51" t="n">
        <v>1.1</v>
      </c>
      <c r="F15" s="51" t="n">
        <v>1.2</v>
      </c>
      <c r="G15" s="51" t="n">
        <v>1.3</v>
      </c>
      <c r="H15" s="324" t="n"/>
      <c r="I15" s="327" t="n"/>
      <c r="J15" s="51" t="n">
        <v>1.1</v>
      </c>
      <c r="K15" s="51" t="n">
        <v>1.2</v>
      </c>
      <c r="L15" s="51" t="n">
        <v>1.3</v>
      </c>
      <c r="Q15" s="45" t="n"/>
    </row>
    <row r="16" ht="28.5" customFormat="1" customHeight="1" s="44">
      <c r="B16" s="39" t="n"/>
      <c r="F16" s="52" t="inlineStr">
        <is>
          <t>Values and behaviour (HOW)</t>
        </is>
      </c>
      <c r="G16" s="53" t="n"/>
      <c r="H16" s="54" t="n"/>
      <c r="I16" s="54" t="n"/>
      <c r="K16" s="52" t="inlineStr">
        <is>
          <t>Values and behaviour (HOW)</t>
        </is>
      </c>
      <c r="L16" s="55" t="n"/>
      <c r="M16" s="56" t="n"/>
      <c r="Q16" s="45" t="n"/>
    </row>
    <row r="17">
      <c r="B17" s="32" t="n"/>
      <c r="C17" s="211" t="n"/>
      <c r="D17" s="324" t="n"/>
      <c r="E17" s="57" t="n"/>
      <c r="J17" s="44" t="n"/>
      <c r="K17" s="44" t="n"/>
      <c r="L17" s="44" t="n"/>
      <c r="M17" s="44" t="n"/>
      <c r="N17" s="44" t="n"/>
      <c r="O17" s="44" t="n"/>
      <c r="P17" s="44" t="n"/>
      <c r="Q17" s="38" t="n"/>
    </row>
    <row r="18" ht="30" customHeight="1">
      <c r="B18" s="32" t="n"/>
      <c r="C18" s="58" t="inlineStr">
        <is>
          <t>Feedback mid-year review</t>
        </is>
      </c>
      <c r="D18" s="58" t="n"/>
      <c r="E18" s="58" t="n"/>
      <c r="F18" s="58" t="n"/>
      <c r="G18" s="58" t="n"/>
      <c r="H18" s="58" t="n"/>
      <c r="I18" s="58" t="n"/>
      <c r="J18" s="58" t="n"/>
      <c r="K18" s="58" t="n"/>
      <c r="L18" s="58" t="n"/>
      <c r="M18" s="58" t="n"/>
      <c r="N18" s="58" t="n"/>
      <c r="O18" s="58" t="n"/>
      <c r="P18" s="58" t="n"/>
      <c r="Q18" s="38" t="n"/>
    </row>
    <row r="19" ht="15.75" customFormat="1" customHeight="1" s="61">
      <c r="B19" s="59" t="n"/>
      <c r="C19" s="328" t="inlineStr">
        <is>
          <t>EMPLOYEE:</t>
        </is>
      </c>
      <c r="D19" s="329" t="n"/>
      <c r="E19" s="329" t="n"/>
      <c r="F19" s="329" t="n"/>
      <c r="G19" s="329" t="n"/>
      <c r="H19" s="329" t="n"/>
      <c r="I19" s="329" t="n"/>
      <c r="J19" s="329" t="n"/>
      <c r="K19" s="329" t="n"/>
      <c r="L19" s="329" t="n"/>
      <c r="M19" s="329" t="n"/>
      <c r="N19" s="329" t="n"/>
      <c r="O19" s="329" t="n"/>
      <c r="P19" s="330" t="n"/>
      <c r="Q19" s="60" t="n"/>
    </row>
    <row r="20" ht="100" customHeight="1">
      <c r="B20" s="32" t="n"/>
      <c r="C20" s="331" t="inlineStr">
        <is>
          <t>Overall mid-year progress is positive: priorities are clear, communication is transparent, and the employee shows a healthy dose of nerdy enthusiasm.</t>
        </is>
      </c>
      <c r="D20" s="332" t="n"/>
      <c r="E20" s="332" t="n"/>
      <c r="F20" s="332" t="n"/>
      <c r="G20" s="332" t="n"/>
      <c r="H20" s="332" t="n"/>
      <c r="I20" s="332" t="n"/>
      <c r="J20" s="332" t="n"/>
      <c r="K20" s="332" t="n"/>
      <c r="L20" s="332" t="n"/>
      <c r="M20" s="332" t="n"/>
      <c r="N20" s="332" t="n"/>
      <c r="O20" s="332" t="n"/>
      <c r="P20" s="333" t="n"/>
      <c r="Q20" s="38" t="n"/>
    </row>
    <row r="21" ht="10" customHeight="1">
      <c r="B21" s="32" t="n"/>
      <c r="C21" s="207" t="inlineStr">
        <is>
          <t>Overall mid-year progress is positive: priorities are clear, communication is transparent, and the employee shows a healthy dose of nerdy enthusiasm.</t>
        </is>
      </c>
      <c r="D21" s="329" t="n"/>
      <c r="E21" s="329" t="n"/>
      <c r="F21" s="329" t="n"/>
      <c r="G21" s="329" t="n"/>
      <c r="H21" s="329" t="n"/>
      <c r="I21" s="329" t="n"/>
      <c r="J21" s="329" t="n"/>
      <c r="K21" s="329" t="n"/>
      <c r="L21" s="329" t="n"/>
      <c r="M21" s="329" t="n"/>
      <c r="N21" s="329" t="n"/>
      <c r="O21" s="329" t="n"/>
      <c r="P21" s="329" t="n"/>
      <c r="Q21" s="38" t="n"/>
    </row>
    <row r="22" ht="15.75" customFormat="1" customHeight="1" s="61">
      <c r="B22" s="59" t="n"/>
      <c r="C22" s="334" t="inlineStr">
        <is>
          <t>MANAGER:</t>
        </is>
      </c>
      <c r="D22" s="329" t="n"/>
      <c r="E22" s="329" t="n"/>
      <c r="F22" s="329" t="n"/>
      <c r="G22" s="329" t="n"/>
      <c r="H22" s="329" t="n"/>
      <c r="I22" s="329" t="n"/>
      <c r="J22" s="329" t="n"/>
      <c r="K22" s="329" t="n"/>
      <c r="L22" s="329" t="n"/>
      <c r="M22" s="329" t="n"/>
      <c r="N22" s="329" t="n"/>
      <c r="O22" s="329" t="n"/>
      <c r="P22" s="330" t="n"/>
      <c r="Q22" s="60" t="n"/>
    </row>
    <row r="23" ht="100" customHeight="1">
      <c r="B23" s="32" t="n"/>
      <c r="C23" s="331" t="inlineStr">
        <is>
          <t>Overall mid-year progress is positive: priorities are clear, communication is transparent, and the employee shows a healthy dose of nerdy enthusiasm.</t>
        </is>
      </c>
      <c r="D23" s="332" t="n"/>
      <c r="E23" s="332" t="n"/>
      <c r="F23" s="332" t="n"/>
      <c r="G23" s="332" t="n"/>
      <c r="H23" s="332" t="n"/>
      <c r="I23" s="332" t="n"/>
      <c r="J23" s="332" t="n"/>
      <c r="K23" s="332" t="n"/>
      <c r="L23" s="332" t="n"/>
      <c r="M23" s="332" t="n"/>
      <c r="N23" s="332" t="n"/>
      <c r="O23" s="332" t="n"/>
      <c r="P23" s="333" t="n"/>
      <c r="Q23" s="38" t="n"/>
    </row>
    <row r="24" ht="10" customHeight="1">
      <c r="B24" s="32" t="n"/>
      <c r="C24" s="207" t="inlineStr">
        <is>
          <t>Overall mid-year progress is positive: priorities are clear, communication is transparent, and the employee shows a healthy dose of nerdy enthusiasm.</t>
        </is>
      </c>
      <c r="D24" s="329" t="n"/>
      <c r="E24" s="329" t="n"/>
      <c r="F24" s="329" t="n"/>
      <c r="G24" s="329" t="n"/>
      <c r="H24" s="329" t="n"/>
      <c r="I24" s="329" t="n"/>
      <c r="J24" s="329" t="n"/>
      <c r="K24" s="329" t="n"/>
      <c r="L24" s="329" t="n"/>
      <c r="M24" s="329" t="n"/>
      <c r="N24" s="329" t="n"/>
      <c r="O24" s="329" t="n"/>
      <c r="P24" s="329" t="n"/>
      <c r="Q24" s="38" t="n"/>
    </row>
    <row r="25" ht="31.5" customHeight="1">
      <c r="B25" s="32" t="n"/>
      <c r="C25" s="335" t="inlineStr">
        <is>
          <t>Working from home and working conditions: Limited to that it has been discussed and any actions.
Do not enter information relating to health concerns (due to GDPR). Any concerns relating to physical or mental health that you wish to disclose should be communicated confidentially to your manager or Human Resources representative.</t>
        </is>
      </c>
      <c r="D25" s="329" t="n"/>
      <c r="E25" s="329" t="n"/>
      <c r="F25" s="329" t="n"/>
      <c r="G25" s="329" t="n"/>
      <c r="H25" s="329" t="n"/>
      <c r="I25" s="329" t="n"/>
      <c r="J25" s="329" t="n"/>
      <c r="K25" s="329" t="n"/>
      <c r="L25" s="329" t="n"/>
      <c r="M25" s="329" t="n"/>
      <c r="N25" s="329" t="n"/>
      <c r="O25" s="329" t="n"/>
      <c r="P25" s="330" t="n"/>
      <c r="Q25" s="38" t="n"/>
    </row>
    <row r="26" ht="107.25" customHeight="1">
      <c r="B26" s="32" t="n"/>
      <c r="C26" s="336" t="inlineStr">
        <is>
          <t>Sample questions to use:
- What are your home working facilities like? Do they meet your expectations? Are any adjustments required?
- How is your work/life balance?
- Are you able to perform your work within the agreed working hours and take breaks?
We have discussed the above with each other YES/NO
Concrete actions following conversation:</t>
        </is>
      </c>
      <c r="D26" s="332" t="n"/>
      <c r="E26" s="332" t="n"/>
      <c r="F26" s="332" t="n"/>
      <c r="G26" s="332" t="n"/>
      <c r="H26" s="332" t="n"/>
      <c r="I26" s="332" t="n"/>
      <c r="J26" s="332" t="n"/>
      <c r="K26" s="332" t="n"/>
      <c r="L26" s="332" t="n"/>
      <c r="M26" s="332" t="n"/>
      <c r="N26" s="332" t="n"/>
      <c r="O26" s="332" t="n"/>
      <c r="P26" s="333" t="n"/>
      <c r="Q26" s="38" t="n"/>
    </row>
    <row r="27" ht="11.25" customHeight="1">
      <c r="B27" s="32" t="n"/>
      <c r="C27" s="180" t="inlineStr">
        <is>
          <t>End-of-year performance shows strong ownership, solid delivery on key goals, and clear growth in both technical and collaboration skills.</t>
        </is>
      </c>
      <c r="D27" s="337" t="n"/>
      <c r="E27" s="337" t="n"/>
      <c r="F27" s="337" t="n"/>
      <c r="G27" s="337" t="n"/>
      <c r="H27" s="337" t="n"/>
      <c r="I27" s="337" t="n"/>
      <c r="J27" s="337" t="n"/>
      <c r="K27" s="337" t="n"/>
      <c r="L27" s="337" t="n"/>
      <c r="M27" s="337" t="n"/>
      <c r="N27" s="337" t="n"/>
      <c r="O27" s="337" t="n"/>
      <c r="P27" s="337" t="n"/>
      <c r="Q27" s="38" t="n"/>
    </row>
    <row r="28" ht="31.5" customHeight="1">
      <c r="B28" s="32" t="n"/>
      <c r="C28" s="58" t="inlineStr">
        <is>
          <t>Feedback:  End of Year Review</t>
        </is>
      </c>
      <c r="D28" s="58" t="n"/>
      <c r="E28" s="58" t="n"/>
      <c r="F28" s="58" t="n"/>
      <c r="G28" s="58" t="n"/>
      <c r="H28" s="58" t="n"/>
      <c r="I28" s="58" t="n"/>
      <c r="J28" s="58" t="n"/>
      <c r="K28" s="58" t="n"/>
      <c r="L28" s="58" t="n"/>
      <c r="M28" s="58" t="n"/>
      <c r="N28" s="58" t="n"/>
      <c r="O28" s="58" t="n"/>
      <c r="P28" s="58" t="n"/>
      <c r="Q28" s="38" t="n"/>
    </row>
    <row r="29" ht="15.75" customFormat="1" customHeight="1" s="61">
      <c r="B29" s="59" t="n"/>
      <c r="C29" s="328" t="inlineStr">
        <is>
          <t>EMPLOYEE:</t>
        </is>
      </c>
      <c r="D29" s="329" t="n"/>
      <c r="E29" s="329" t="n"/>
      <c r="F29" s="329" t="n"/>
      <c r="G29" s="329" t="n"/>
      <c r="H29" s="329" t="n"/>
      <c r="I29" s="329" t="n"/>
      <c r="J29" s="329" t="n"/>
      <c r="K29" s="329" t="n"/>
      <c r="L29" s="329" t="n"/>
      <c r="M29" s="329" t="n"/>
      <c r="N29" s="329" t="n"/>
      <c r="O29" s="329" t="n"/>
      <c r="P29" s="330" t="n"/>
      <c r="Q29" s="60" t="n"/>
    </row>
    <row r="30" ht="11.5" customHeight="1">
      <c r="B30" s="32" t="n"/>
      <c r="C30" s="338" t="inlineStr">
        <is>
          <t>End-of-year performance shows strong ownership, solid delivery on key goals, and clear growth in both technical and collaboration skills.</t>
        </is>
      </c>
      <c r="D30" s="329" t="n"/>
      <c r="E30" s="329" t="n"/>
      <c r="F30" s="329" t="n"/>
      <c r="G30" s="329" t="n"/>
      <c r="H30" s="329" t="n"/>
      <c r="I30" s="329" t="n"/>
      <c r="J30" s="329" t="n"/>
      <c r="K30" s="329" t="n"/>
      <c r="L30" s="329" t="n"/>
      <c r="M30" s="329" t="n"/>
      <c r="N30" s="329" t="n"/>
      <c r="O30" s="329" t="n"/>
      <c r="P30" s="330" t="n"/>
      <c r="Q30" s="38" t="n"/>
    </row>
    <row r="31" ht="100" customHeight="1">
      <c r="B31" s="32" t="n"/>
      <c r="C31" s="338" t="inlineStr">
        <is>
          <t>End-of-year performance shows strong ownership, solid delivery on key goals, and clear growth in both technical and collaboration skills.</t>
        </is>
      </c>
      <c r="D31" s="329" t="n"/>
      <c r="E31" s="329" t="n"/>
      <c r="F31" s="329" t="n"/>
      <c r="G31" s="329" t="n"/>
      <c r="H31" s="329" t="n"/>
      <c r="I31" s="329" t="n"/>
      <c r="J31" s="329" t="n"/>
      <c r="K31" s="329" t="n"/>
      <c r="L31" s="329" t="n"/>
      <c r="M31" s="329" t="n"/>
      <c r="N31" s="329" t="n"/>
      <c r="O31" s="329" t="n"/>
      <c r="P31" s="330" t="n"/>
      <c r="Q31" s="38" t="n"/>
    </row>
    <row r="32" ht="11.5" customHeight="1">
      <c r="B32" s="32" t="n"/>
      <c r="C32" s="194" t="inlineStr">
        <is>
          <t>End-of-year performance shows strong ownership, solid delivery on key goals, and clear growth in both technical and collaboration skills.</t>
        </is>
      </c>
      <c r="D32" s="329" t="n"/>
      <c r="E32" s="329" t="n"/>
      <c r="F32" s="329" t="n"/>
      <c r="G32" s="329" t="n"/>
      <c r="H32" s="329" t="n"/>
      <c r="I32" s="329" t="n"/>
      <c r="J32" s="329" t="n"/>
      <c r="K32" s="329" t="n"/>
      <c r="L32" s="329" t="n"/>
      <c r="M32" s="329" t="n"/>
      <c r="N32" s="329" t="n"/>
      <c r="O32" s="329" t="n"/>
      <c r="P32" s="330" t="n"/>
      <c r="Q32" s="38" t="n"/>
    </row>
    <row r="33" ht="15.75" customFormat="1" customHeight="1" s="61">
      <c r="B33" s="59" t="n"/>
      <c r="C33" s="334" t="inlineStr">
        <is>
          <t>MANAGER:</t>
        </is>
      </c>
      <c r="D33" s="329" t="n"/>
      <c r="E33" s="329" t="n"/>
      <c r="F33" s="329" t="n"/>
      <c r="G33" s="329" t="n"/>
      <c r="H33" s="329" t="n"/>
      <c r="I33" s="329" t="n"/>
      <c r="J33" s="329" t="n"/>
      <c r="K33" s="329" t="n"/>
      <c r="L33" s="329" t="n"/>
      <c r="M33" s="329" t="n"/>
      <c r="N33" s="329" t="n"/>
      <c r="O33" s="329" t="n"/>
      <c r="P33" s="330" t="n"/>
      <c r="Q33" s="60" t="n"/>
    </row>
    <row r="34" ht="100" customHeight="1">
      <c r="B34" s="32" t="n"/>
      <c r="C34" s="338" t="inlineStr">
        <is>
          <t>End-of-year performance shows strong ownership, solid delivery on key goals, and clear growth in both technical and collaboration skills.</t>
        </is>
      </c>
      <c r="D34" s="329" t="n"/>
      <c r="E34" s="329" t="n"/>
      <c r="F34" s="329" t="n"/>
      <c r="G34" s="329" t="n"/>
      <c r="H34" s="329" t="n"/>
      <c r="I34" s="329" t="n"/>
      <c r="J34" s="329" t="n"/>
      <c r="K34" s="329" t="n"/>
      <c r="L34" s="329" t="n"/>
      <c r="M34" s="329" t="n"/>
      <c r="N34" s="329" t="n"/>
      <c r="O34" s="329" t="n"/>
      <c r="P34" s="330" t="n"/>
      <c r="Q34" s="38" t="n"/>
    </row>
    <row r="35">
      <c r="B35" s="32" t="n"/>
      <c r="J35" s="48" t="n"/>
      <c r="K35" s="48" t="n"/>
      <c r="L35" s="48" t="n"/>
      <c r="M35" s="48" t="n"/>
      <c r="N35" s="48" t="n"/>
      <c r="O35" s="48" t="n"/>
      <c r="P35" s="48" t="n"/>
      <c r="Q35" s="38" t="n"/>
    </row>
    <row r="36" ht="30" customHeight="1">
      <c r="B36" s="32" t="n"/>
      <c r="C36" s="335" t="inlineStr">
        <is>
          <t>Working from home and working conditions: Limited to that it has been discussed and any actions.
Do not enter information relating to health concerns (due to GDPR). Any concerns relating to physical or mental health that you wish to disclose should be communicated confidentially to your manager or Human Resources representative.</t>
        </is>
      </c>
      <c r="D36" s="329" t="n"/>
      <c r="E36" s="329" t="n"/>
      <c r="F36" s="329" t="n"/>
      <c r="G36" s="329" t="n"/>
      <c r="H36" s="329" t="n"/>
      <c r="I36" s="329" t="n"/>
      <c r="J36" s="329" t="n"/>
      <c r="K36" s="329" t="n"/>
      <c r="L36" s="329" t="n"/>
      <c r="M36" s="329" t="n"/>
      <c r="N36" s="329" t="n"/>
      <c r="O36" s="329" t="n"/>
      <c r="P36" s="330" t="n"/>
      <c r="Q36" s="38" t="n"/>
    </row>
    <row r="37" ht="117" customHeight="1">
      <c r="B37" s="32" t="n"/>
      <c r="C37" s="336" t="inlineStr">
        <is>
          <t>Sample questions to use:
- What are your home working facilities like? Do they meet your expectations? Are any adjustments required?
- How is your work/life balance?
- Are you able to perform your work within the agreed working hours and take breaks?
We have discussed the above with each other YES/NO
Concrete actions following conversation:</t>
        </is>
      </c>
      <c r="D37" s="332" t="n"/>
      <c r="E37" s="332" t="n"/>
      <c r="F37" s="332" t="n"/>
      <c r="G37" s="332" t="n"/>
      <c r="H37" s="332" t="n"/>
      <c r="I37" s="332" t="n"/>
      <c r="J37" s="332" t="n"/>
      <c r="K37" s="332" t="n"/>
      <c r="L37" s="332" t="n"/>
      <c r="M37" s="332" t="n"/>
      <c r="N37" s="332" t="n"/>
      <c r="O37" s="332" t="n"/>
      <c r="P37" s="333" t="n"/>
      <c r="Q37" s="38" t="n"/>
    </row>
    <row r="38">
      <c r="B38" s="32" t="n"/>
      <c r="J38" s="48" t="n"/>
      <c r="K38" s="48" t="n"/>
      <c r="L38" s="48" t="n"/>
      <c r="M38" s="48" t="n"/>
      <c r="N38" s="48" t="n"/>
      <c r="O38" s="48" t="n"/>
      <c r="P38" s="48" t="n"/>
      <c r="Q38" s="38" t="n"/>
    </row>
    <row r="39">
      <c r="B39" s="32" t="n"/>
      <c r="C39" s="62" t="inlineStr">
        <is>
          <t>Completion Guide:</t>
        </is>
      </c>
      <c r="D39" s="63" t="n"/>
      <c r="E39" s="64" t="n"/>
      <c r="F39" s="65" t="n"/>
      <c r="J39" s="48" t="n"/>
      <c r="K39" s="48" t="n"/>
      <c r="L39" s="48" t="n"/>
      <c r="M39" s="48" t="n"/>
      <c r="N39" s="48" t="n"/>
      <c r="O39" s="48" t="n"/>
      <c r="P39" s="48" t="n"/>
      <c r="Q39" s="38" t="n"/>
    </row>
    <row r="40">
      <c r="B40" s="32" t="n"/>
      <c r="C40" s="66" t="inlineStr">
        <is>
          <t>Objectives with the highest weighting should be listed first (key areas of focus)</t>
        </is>
      </c>
      <c r="D40" s="64" t="n"/>
      <c r="E40" s="64" t="n"/>
      <c r="F40" s="65" t="n"/>
      <c r="J40" s="48" t="n"/>
      <c r="K40" s="48" t="n"/>
      <c r="L40" s="48" t="n"/>
      <c r="M40" s="48" t="n"/>
      <c r="N40" s="48" t="n"/>
      <c r="O40" s="48" t="n"/>
      <c r="P40" s="48" t="n"/>
      <c r="Q40" s="38" t="n"/>
    </row>
    <row r="41">
      <c r="B41" s="32" t="n"/>
      <c r="C41" s="66" t="inlineStr">
        <is>
          <t>Manager and employee to confirm number of 'objectives' and 'personal objectives'</t>
        </is>
      </c>
      <c r="D41" s="64" t="n"/>
      <c r="E41" s="64" t="n"/>
      <c r="F41" s="67" t="n"/>
      <c r="J41" s="48" t="n"/>
      <c r="K41" s="48" t="n"/>
      <c r="L41" s="48" t="n"/>
      <c r="M41" s="48" t="n"/>
      <c r="N41" s="48" t="n"/>
      <c r="O41" s="48" t="n"/>
      <c r="P41" s="48" t="n"/>
      <c r="Q41" s="38" t="n"/>
    </row>
    <row r="42" ht="15.75" customHeight="1">
      <c r="B42" s="32" t="n"/>
      <c r="C42" s="68" t="n"/>
      <c r="D42" s="68" t="n"/>
      <c r="E42" s="68" t="n"/>
      <c r="F42" s="68" t="n"/>
      <c r="G42" s="69" t="n"/>
      <c r="H42" s="69" t="n"/>
      <c r="I42" s="69" t="n"/>
      <c r="J42" s="69" t="n"/>
      <c r="K42" s="69" t="n"/>
      <c r="L42" s="69" t="n"/>
      <c r="Q42" s="38" t="n"/>
    </row>
    <row r="43" ht="33.65" customHeight="1">
      <c r="A43" s="70" t="n"/>
      <c r="B43" s="70" t="n"/>
      <c r="C43" s="71" t="inlineStr">
        <is>
          <t>Objectives</t>
        </is>
      </c>
      <c r="D43" s="68" t="n"/>
      <c r="E43" s="68" t="n"/>
      <c r="F43" s="68" t="n"/>
      <c r="G43" s="339" t="inlineStr">
        <is>
          <t>Mid-Year</t>
        </is>
      </c>
      <c r="H43" s="329" t="n"/>
      <c r="I43" s="330" t="n"/>
      <c r="J43" s="339" t="inlineStr">
        <is>
          <t>End of Year</t>
        </is>
      </c>
      <c r="K43" s="329" t="n"/>
      <c r="L43" s="330" t="n"/>
      <c r="Q43" s="38" t="n"/>
    </row>
    <row r="44" ht="43.5" customHeight="1" thickBot="1">
      <c r="A44" s="70" t="n"/>
      <c r="B44" s="70" t="n"/>
      <c r="D44" s="68" t="n"/>
      <c r="E44" s="72" t="inlineStr">
        <is>
          <t>Weight (%)</t>
        </is>
      </c>
      <c r="F44" s="68" t="n"/>
      <c r="G44" s="73" t="inlineStr">
        <is>
          <t>Score
(employee self-score first)</t>
        </is>
      </c>
      <c r="H44" s="74" t="inlineStr">
        <is>
          <t>Weighted Score</t>
        </is>
      </c>
      <c r="I44" s="75" t="inlineStr">
        <is>
          <t>Explanation</t>
        </is>
      </c>
      <c r="J44" s="73" t="inlineStr">
        <is>
          <t>Score
(employee self-score first)</t>
        </is>
      </c>
      <c r="K44" s="76" t="inlineStr">
        <is>
          <t>Weighted
Score</t>
        </is>
      </c>
      <c r="L44" s="75" t="inlineStr">
        <is>
          <t>Explanation</t>
        </is>
      </c>
      <c r="Q44" s="38" t="n"/>
    </row>
    <row r="45" ht="17.5" customFormat="1" customHeight="1" s="82">
      <c r="A45" s="70" t="n"/>
      <c r="B45" s="70" t="n"/>
      <c r="C45" s="77" t="inlineStr">
        <is>
          <t>KAR objectives</t>
        </is>
      </c>
      <c r="D45" s="78" t="n"/>
      <c r="E45" s="78" t="n"/>
      <c r="F45" s="79" t="n"/>
      <c r="G45" s="80" t="n"/>
      <c r="H45" s="161">
        <f>SUM(($E$46*G46),($E$47*G47),($E$48*G48))</f>
        <v/>
      </c>
      <c r="I45" s="81" t="n"/>
      <c r="J45" s="80" t="n"/>
      <c r="K45" s="160">
        <f>SUM(($E$46*J46),($E$47*J47),($E$48*J48))</f>
        <v/>
      </c>
      <c r="L45" s="81" t="n"/>
      <c r="Q45" s="83" t="n"/>
    </row>
    <row r="46" ht="14.5" customFormat="1" customHeight="1" s="86">
      <c r="A46" s="70" t="n"/>
      <c r="B46" s="70" t="n"/>
      <c r="C46" s="84" t="n">
        <v>1</v>
      </c>
      <c r="D46" s="4" t="inlineStr">
        <is>
          <t>Objective 1 – Reduce production incidents by 25% through improved monitoring and alerting.</t>
        </is>
      </c>
      <c r="E46" s="3" t="n">
        <v>25</v>
      </c>
      <c r="F46" s="85" t="n"/>
      <c r="G46" s="11" t="n">
        <v>2</v>
      </c>
      <c r="H46" s="340" t="inlineStr">
        <is>
          <t>Mid-year status 2/3 – regularly supports teammates and shares context proactively.</t>
        </is>
      </c>
      <c r="I46" s="341" t="n"/>
      <c r="J46" s="11" t="n">
        <v>1</v>
      </c>
      <c r="K46" s="342" t="inlineStr">
        <is>
          <t>End-of-year result 1/3 – balances speed of delivery with code quality.</t>
        </is>
      </c>
      <c r="L46" s="341" t="n"/>
      <c r="Q46" s="87" t="n"/>
    </row>
    <row r="47" ht="14.5" customFormat="1" customHeight="1" s="86">
      <c r="A47" s="70" t="n"/>
      <c r="B47" s="70" t="n"/>
      <c r="C47" s="84" t="n">
        <v>2</v>
      </c>
      <c r="D47" s="4" t="inlineStr">
        <is>
          <t>Objective 2 – Automate the regression test suite for core services.</t>
        </is>
      </c>
      <c r="E47" s="3" t="n">
        <v>25</v>
      </c>
      <c r="F47" s="85" t="n"/>
      <c r="G47" s="11" t="n">
        <v>2</v>
      </c>
      <c r="H47" s="343" t="inlineStr">
        <is>
          <t>Mid-year status 2/3 – is open to feedback and adjusts approach quickly.</t>
        </is>
      </c>
      <c r="I47" s="344" t="n"/>
      <c r="J47" s="11" t="n">
        <v>2</v>
      </c>
      <c r="K47" s="187" t="inlineStr">
        <is>
          <t>End-of-year result 2/3 – shows curiosity and experiments safely before rolling out changes.</t>
        </is>
      </c>
      <c r="L47" s="344" t="n"/>
      <c r="Q47" s="87" t="n"/>
    </row>
    <row r="48" ht="14.5" customFormat="1" customHeight="1" s="86">
      <c r="A48" s="70" t="n"/>
      <c r="B48" s="70" t="n"/>
      <c r="C48" s="84" t="n">
        <v>3</v>
      </c>
      <c r="D48" s="4" t="inlineStr">
        <is>
          <t>Objective 3 – Improve CI/CD pipeline deployment time by 30%.</t>
        </is>
      </c>
      <c r="E48" s="10" t="n">
        <v>20</v>
      </c>
      <c r="F48" s="85" t="n"/>
      <c r="G48" s="11" t="n">
        <v>2</v>
      </c>
      <c r="H48" s="343" t="inlineStr">
        <is>
          <t>Mid-year status 2/3 – is open to feedback and adjusts approach quickly.</t>
        </is>
      </c>
      <c r="I48" s="344" t="n"/>
      <c r="J48" s="11" t="n">
        <v>2</v>
      </c>
      <c r="K48" s="187" t="inlineStr">
        <is>
          <t>End-of-year result 2/3 – helps create a calm, constructive incident culture.</t>
        </is>
      </c>
      <c r="L48" s="344" t="n"/>
      <c r="Q48" s="87" t="n"/>
    </row>
    <row r="49" ht="15" customFormat="1" customHeight="1" s="86" thickBot="1">
      <c r="A49" s="70" t="n"/>
      <c r="B49" s="70" t="n"/>
      <c r="C49" s="88" t="n"/>
      <c r="D49" s="22" t="inlineStr">
        <is>
          <t>Subtotal</t>
        </is>
      </c>
      <c r="E49" s="156">
        <f>SUM(E46:E48)</f>
        <v/>
      </c>
      <c r="F49" s="89" t="n"/>
      <c r="G49" s="13" t="n"/>
      <c r="H49" s="343" t="n"/>
      <c r="I49" s="344" t="n"/>
      <c r="J49" s="13" t="n"/>
      <c r="K49" s="15" t="n"/>
      <c r="L49" s="14" t="n"/>
      <c r="Q49" s="87" t="n"/>
    </row>
    <row r="50" ht="14.5" customFormat="1" customHeight="1" s="86">
      <c r="A50" s="70" t="n"/>
      <c r="B50" s="70" t="n"/>
      <c r="C50" s="77" t="inlineStr">
        <is>
          <t>Objectives</t>
        </is>
      </c>
      <c r="D50" s="78" t="n"/>
      <c r="E50" s="78" t="n"/>
      <c r="F50" s="79" t="n"/>
      <c r="G50" s="80" t="n"/>
      <c r="H50" s="161">
        <f>SUM(($E$51*G51),($E$52*G52),($E$53*G53),($E$54*G54),($E$55*G55))</f>
        <v/>
      </c>
      <c r="I50" s="81" t="n"/>
      <c r="J50" s="80" t="n"/>
      <c r="K50" s="161">
        <f>SUM(($E$51*J51),($E$52*J52),($E$53*J53),($E$54*J54),($E$55*J55))</f>
        <v/>
      </c>
      <c r="L50" s="81" t="n"/>
      <c r="Q50" s="87" t="n"/>
    </row>
    <row r="51" ht="14.5" customFormat="1" customHeight="1" s="86">
      <c r="A51" s="70" t="n"/>
      <c r="B51" s="70" t="n"/>
      <c r="C51" s="84" t="n">
        <v>4</v>
      </c>
      <c r="D51" s="4" t="inlineStr">
        <is>
          <t>Objective 4 – Mentor junior developers on clean code and review practices.</t>
        </is>
      </c>
      <c r="E51" s="10" t="n">
        <v>15</v>
      </c>
      <c r="F51" s="89" t="n"/>
      <c r="G51" s="13" t="n">
        <v>3</v>
      </c>
      <c r="H51" s="343" t="inlineStr">
        <is>
          <t>Mid-year status 3/3 – is open to feedback and adjusts approach quickly.</t>
        </is>
      </c>
      <c r="I51" s="344" t="n"/>
      <c r="J51" s="13" t="n">
        <v>2</v>
      </c>
      <c r="K51" s="15" t="n"/>
      <c r="L51" s="14" t="inlineStr">
        <is>
          <t>End-of-year result 2/3 – helps create a calm, constructive incident culture.</t>
        </is>
      </c>
      <c r="Q51" s="87" t="n"/>
    </row>
    <row r="52" ht="15.75" customFormat="1" customHeight="1" s="86">
      <c r="A52" s="70" t="n"/>
      <c r="B52" s="70" t="n"/>
      <c r="C52" s="84" t="n">
        <v>5</v>
      </c>
      <c r="D52" s="4" t="inlineStr">
        <is>
          <t>Objective 5 – Deliver key project milestones on time and within budget.</t>
        </is>
      </c>
      <c r="E52" s="3" t="n">
        <v>15</v>
      </c>
      <c r="F52" s="85" t="n"/>
      <c r="G52" s="11" t="n">
        <v>1</v>
      </c>
      <c r="H52" s="345" t="inlineStr">
        <is>
          <t>Mid-year status 1/3 – helps create a calm, constructive incident culture.</t>
        </is>
      </c>
      <c r="I52" s="344" t="n"/>
      <c r="J52" s="11" t="n">
        <v>1</v>
      </c>
      <c r="K52" s="187" t="inlineStr">
        <is>
          <t>End-of-year result 1/3 – balances speed of delivery with code quality.</t>
        </is>
      </c>
      <c r="L52" s="344" t="n"/>
      <c r="Q52" s="87" t="n"/>
    </row>
    <row r="53" ht="15.75" customFormat="1" customHeight="1" s="86">
      <c r="A53" s="70" t="n"/>
      <c r="B53" s="70" t="n"/>
      <c r="C53" s="84" t="n">
        <v>6</v>
      </c>
      <c r="D53" s="4" t="inlineStr">
        <is>
          <t>Objective 6</t>
        </is>
      </c>
      <c r="E53" s="3" t="n"/>
      <c r="F53" s="85" t="n"/>
      <c r="G53" s="11" t="n"/>
      <c r="H53" s="16" t="n"/>
      <c r="I53" s="187" t="n"/>
      <c r="J53" s="11" t="n"/>
      <c r="K53" s="186" t="n"/>
      <c r="L53" s="187" t="n"/>
      <c r="Q53" s="87" t="n"/>
    </row>
    <row r="54" ht="15.75" customFormat="1" customHeight="1" s="86">
      <c r="A54" s="70" t="n"/>
      <c r="B54" s="70" t="n"/>
      <c r="C54" s="84" t="n">
        <v>7</v>
      </c>
      <c r="D54" s="4" t="inlineStr">
        <is>
          <t>Objective 7</t>
        </is>
      </c>
      <c r="E54" s="3" t="n"/>
      <c r="F54" s="85" t="n"/>
      <c r="G54" s="11" t="n"/>
      <c r="H54" s="16" t="n"/>
      <c r="I54" s="187" t="n"/>
      <c r="J54" s="11" t="n"/>
      <c r="K54" s="186" t="n"/>
      <c r="L54" s="187" t="n"/>
      <c r="Q54" s="87" t="n"/>
    </row>
    <row r="55" ht="15.75" customFormat="1" customHeight="1" s="86">
      <c r="A55" s="70" t="n"/>
      <c r="B55" s="70" t="n"/>
      <c r="C55" s="84" t="n">
        <v>8</v>
      </c>
      <c r="D55" s="4" t="inlineStr">
        <is>
          <t>Objective 8</t>
        </is>
      </c>
      <c r="E55" s="3" t="n"/>
      <c r="F55" s="85" t="n"/>
      <c r="G55" s="11" t="n"/>
      <c r="H55" s="16" t="n"/>
      <c r="I55" s="187" t="n"/>
      <c r="J55" s="11" t="n"/>
      <c r="K55" s="186" t="n"/>
      <c r="L55" s="187" t="n"/>
      <c r="Q55" s="87" t="n"/>
    </row>
    <row r="56" ht="15" customFormat="1" customHeight="1" s="86" thickBot="1">
      <c r="A56" s="70" t="n"/>
      <c r="B56" s="70" t="n"/>
      <c r="C56" s="88" t="n"/>
      <c r="D56" s="22" t="inlineStr">
        <is>
          <t>Subtotal</t>
        </is>
      </c>
      <c r="E56" s="156">
        <f>SUM(E51:E55)</f>
        <v/>
      </c>
      <c r="F56" s="89" t="n"/>
      <c r="G56" s="13" t="n"/>
      <c r="H56" s="343" t="n"/>
      <c r="I56" s="344" t="n"/>
      <c r="J56" s="13" t="n"/>
      <c r="K56" s="15" t="n"/>
      <c r="L56" s="14" t="n"/>
      <c r="Q56" s="87" t="n"/>
    </row>
    <row r="57" ht="14.5" customFormat="1" customHeight="1" s="86">
      <c r="B57" s="70" t="n"/>
      <c r="C57" s="91" t="n"/>
      <c r="D57" s="92" t="n"/>
      <c r="E57" s="92" t="n"/>
      <c r="F57" s="85" t="n"/>
      <c r="G57" s="93" t="n"/>
      <c r="H57" s="94" t="n"/>
      <c r="I57" s="95" t="n"/>
      <c r="J57" s="93" t="n"/>
      <c r="K57" s="96" t="n"/>
      <c r="L57" s="95" t="n"/>
      <c r="Q57" s="87" t="n"/>
      <c r="S57" s="90" t="n"/>
      <c r="T57" s="90" t="n"/>
      <c r="U57" s="90" t="n"/>
      <c r="V57" s="90" t="n"/>
    </row>
    <row r="58" ht="12" customFormat="1" customHeight="1" s="86" thickBot="1">
      <c r="B58" s="70" t="n"/>
      <c r="C58" s="219" t="inlineStr">
        <is>
          <t>Weighting total:</t>
        </is>
      </c>
      <c r="D58" s="346" t="n"/>
      <c r="E58" s="97" t="n"/>
      <c r="F58" s="162">
        <f>E49+E56</f>
        <v/>
      </c>
      <c r="G58" s="159">
        <f>SUM(H45,H50)</f>
        <v/>
      </c>
      <c r="H58" s="98" t="n"/>
      <c r="I58" s="98" t="n"/>
      <c r="J58" s="159">
        <f>SUM(K45,K50)</f>
        <v/>
      </c>
      <c r="K58" s="98" t="n"/>
      <c r="L58" s="99" t="n"/>
      <c r="Q58" s="87" t="n"/>
      <c r="S58" s="90" t="n"/>
      <c r="T58" s="90" t="n"/>
      <c r="U58" s="90" t="n"/>
      <c r="V58" s="90" t="n"/>
    </row>
    <row r="59" ht="15" customFormat="1" customHeight="1" s="86">
      <c r="B59" s="70" t="n"/>
      <c r="C59" s="220" t="inlineStr">
        <is>
          <t>Score on the WHAT axis:</t>
        </is>
      </c>
      <c r="D59" s="347" t="n"/>
      <c r="E59" s="347" t="n"/>
      <c r="F59" s="347" t="n"/>
      <c r="G59" s="158">
        <f>IF((COUNTIF(G46:G48,1)-COUNTIF(G46:G48,3))&gt;0,1,ROUND(G58,0))</f>
        <v/>
      </c>
      <c r="H59" s="100" t="n"/>
      <c r="I59" s="100" t="n"/>
      <c r="J59" s="158">
        <f>IF((COUNTIF(J46:J48,1)-COUNTIF(J46:J48,3))&gt;0,1,ROUND(J58,0))</f>
        <v/>
      </c>
      <c r="K59" s="100" t="n"/>
      <c r="L59" s="100" t="n"/>
      <c r="Q59" s="87" t="n"/>
      <c r="S59" s="90" t="n"/>
      <c r="T59" s="90" t="n"/>
      <c r="U59" s="90" t="n"/>
      <c r="V59" s="90" t="n"/>
    </row>
    <row r="60" customFormat="1" s="86">
      <c r="B60" s="70" t="n"/>
      <c r="C60" s="221" t="inlineStr">
        <is>
          <t>Total weighting must equal 100%</t>
        </is>
      </c>
      <c r="D60" s="324" t="n"/>
      <c r="E60" s="324" t="n"/>
      <c r="F60" s="324" t="n"/>
      <c r="G60" s="101" t="n"/>
      <c r="H60" s="102" t="n"/>
      <c r="I60" s="102" t="n"/>
      <c r="J60" s="102" t="n"/>
      <c r="K60" s="102" t="n"/>
      <c r="L60" s="102" t="n"/>
      <c r="Q60" s="87" t="n"/>
      <c r="S60" s="90" t="n"/>
      <c r="T60" s="90" t="n"/>
      <c r="U60" s="90" t="n"/>
      <c r="V60" s="90" t="n"/>
    </row>
    <row r="61" customFormat="1" s="82">
      <c r="B61" s="103" t="n"/>
      <c r="D61" s="211" t="n"/>
      <c r="E61" s="104" t="n"/>
      <c r="F61" s="104" t="n"/>
      <c r="G61" s="105" t="n"/>
      <c r="H61" s="102" t="n"/>
      <c r="I61" s="102" t="n"/>
      <c r="J61" s="102" t="n"/>
      <c r="K61" s="102" t="n"/>
      <c r="L61" s="102" t="n"/>
      <c r="N61" s="102" t="n"/>
      <c r="O61" s="102" t="n"/>
      <c r="Q61" s="83" t="n"/>
    </row>
    <row r="62" customFormat="1" s="82">
      <c r="B62" s="103" t="n"/>
      <c r="C62" s="62" t="inlineStr">
        <is>
          <t>Completion Guide:</t>
        </is>
      </c>
      <c r="D62" s="63" t="n"/>
      <c r="E62" s="64" t="n"/>
      <c r="F62" s="106" t="n"/>
      <c r="G62" s="105" t="n"/>
      <c r="H62" s="102" t="n"/>
      <c r="I62" s="102" t="n"/>
      <c r="J62" s="102" t="n"/>
      <c r="K62" s="102" t="n"/>
      <c r="L62" s="102" t="n"/>
      <c r="N62" s="102" t="n"/>
      <c r="O62" s="102" t="n"/>
      <c r="Q62" s="83" t="n"/>
    </row>
    <row r="63" customFormat="1" s="82">
      <c r="B63" s="103" t="n"/>
      <c r="C63" s="66" t="inlineStr">
        <is>
          <t>Step1:  Employee self-scores under 'score column' below</t>
        </is>
      </c>
      <c r="D63" s="64" t="n"/>
      <c r="E63" s="64" t="n"/>
      <c r="F63" s="107" t="n"/>
      <c r="K63" s="102" t="n"/>
      <c r="L63" s="102" t="n"/>
      <c r="N63" s="102" t="n"/>
      <c r="O63" s="102" t="n"/>
      <c r="Q63" s="83" t="n"/>
    </row>
    <row r="64" customFormat="1" s="82">
      <c r="B64" s="103" t="n"/>
      <c r="C64" s="66" t="inlineStr">
        <is>
          <t>Step2:  Manager reviews employee's self-evaluation</t>
        </is>
      </c>
      <c r="D64" s="64" t="n"/>
      <c r="E64" s="64" t="n"/>
      <c r="F64" s="107" t="n"/>
      <c r="K64" s="102" t="n"/>
      <c r="L64" s="102" t="n"/>
      <c r="N64" s="102" t="n"/>
      <c r="O64" s="102" t="n"/>
      <c r="Q64" s="83" t="n"/>
    </row>
    <row r="65" customFormat="1" s="82">
      <c r="B65" s="103" t="n"/>
      <c r="C65" s="66" t="inlineStr">
        <is>
          <t>Step3:  Manager and employee discuss the final evaluation</t>
        </is>
      </c>
      <c r="D65" s="64" t="n"/>
      <c r="E65" s="64" t="n"/>
      <c r="F65" s="107" t="n"/>
      <c r="K65" s="102" t="n"/>
      <c r="L65" s="102" t="n"/>
      <c r="N65" s="102" t="n"/>
      <c r="O65" s="102" t="n"/>
      <c r="Q65" s="83" t="n"/>
    </row>
    <row r="66" customFormat="1" s="82">
      <c r="B66" s="103" t="n"/>
      <c r="F66" s="104" t="n"/>
      <c r="G66" s="105" t="n"/>
      <c r="H66" s="102" t="n"/>
      <c r="I66" s="102" t="n"/>
      <c r="J66" s="102" t="n"/>
      <c r="K66" s="102" t="n"/>
      <c r="L66" s="102" t="n"/>
      <c r="N66" s="102" t="n"/>
      <c r="O66" s="102" t="n"/>
      <c r="Q66" s="83" t="n"/>
    </row>
    <row r="67" ht="23" customHeight="1">
      <c r="B67" s="32" t="n"/>
      <c r="C67" s="108" t="inlineStr">
        <is>
          <t>Values and Behaviours</t>
        </is>
      </c>
      <c r="D67" s="109" t="n"/>
      <c r="E67" s="110" t="n"/>
      <c r="F67" s="111" t="n"/>
      <c r="G67" s="348" t="inlineStr">
        <is>
          <t>Mid-Year</t>
        </is>
      </c>
      <c r="H67" s="329" t="n"/>
      <c r="I67" s="329" t="n"/>
      <c r="J67" s="329" t="n"/>
      <c r="K67" s="330" t="n"/>
      <c r="L67" s="226" t="inlineStr">
        <is>
          <t>End of Year</t>
        </is>
      </c>
      <c r="M67" s="329" t="n"/>
      <c r="N67" s="329" t="n"/>
      <c r="O67" s="329" t="n"/>
      <c r="P67" s="330" t="n"/>
      <c r="Q67" s="38" t="n"/>
    </row>
    <row r="68" ht="36" customHeight="1">
      <c r="B68" s="32" t="n"/>
      <c r="C68" s="223" t="inlineStr">
        <is>
          <t>Elaboration of IDE Behaviours
Note: *Customers may include external clients or internal stakeholders, depending on your role.</t>
        </is>
      </c>
      <c r="D68" s="324" t="n"/>
      <c r="E68" s="324" t="n"/>
      <c r="F68" s="349" t="n"/>
      <c r="G68" s="112" t="inlineStr">
        <is>
          <t xml:space="preserve">Score </t>
        </is>
      </c>
      <c r="H68" s="214" t="inlineStr">
        <is>
          <t>Explanation</t>
        </is>
      </c>
      <c r="I68" s="350" t="n"/>
      <c r="J68" s="350" t="n"/>
      <c r="K68" s="351" t="n"/>
      <c r="L68" s="113" t="inlineStr">
        <is>
          <t xml:space="preserve">Score </t>
        </is>
      </c>
      <c r="M68" s="215" t="inlineStr">
        <is>
          <t>Explanation</t>
        </is>
      </c>
      <c r="N68" s="352" t="n"/>
      <c r="O68" s="352" t="n"/>
      <c r="P68" s="353" t="n"/>
      <c r="Q68" s="38" t="n"/>
    </row>
    <row r="69" ht="15" customHeight="1" thickBot="1">
      <c r="B69" s="32" t="n"/>
      <c r="C69" s="114" t="inlineStr">
        <is>
          <t>Dedicated</t>
        </is>
      </c>
      <c r="D69" s="114" t="n"/>
      <c r="E69" s="115" t="n"/>
      <c r="F69" s="116" t="n"/>
      <c r="G69" s="117" t="n"/>
      <c r="H69" s="227" t="n"/>
      <c r="I69" s="324" t="n"/>
      <c r="J69" s="118" t="n"/>
      <c r="K69" s="229" t="n"/>
      <c r="L69" s="117" t="n"/>
      <c r="M69" s="228" t="n"/>
      <c r="N69" s="324" t="n"/>
      <c r="O69" s="229" t="n"/>
      <c r="P69" s="327" t="n"/>
      <c r="Q69" s="38" t="n"/>
    </row>
    <row r="70" ht="15" customHeight="1" thickBot="1">
      <c r="B70" s="32" t="n"/>
      <c r="C70" s="120" t="n"/>
      <c r="D70" s="121" t="inlineStr">
        <is>
          <t>Result Driven:</t>
        </is>
      </c>
      <c r="E70" s="122" t="n"/>
      <c r="F70" s="123" t="n"/>
      <c r="G70" s="157">
        <f>ROUND(SUM(G71:G75)/5,0)</f>
        <v/>
      </c>
      <c r="H70" s="354" t="n"/>
      <c r="I70" s="355" t="n"/>
      <c r="J70" s="355" t="n"/>
      <c r="K70" s="356" t="n"/>
      <c r="L70" s="157">
        <f>ROUND(SUM(L71:L75)/5,0)</f>
        <v/>
      </c>
      <c r="M70" s="357" t="n"/>
      <c r="N70" s="355" t="n"/>
      <c r="O70" s="355" t="n"/>
      <c r="P70" s="356" t="n"/>
      <c r="Q70" s="38" t="n"/>
    </row>
    <row r="71" ht="48" customHeight="1">
      <c r="B71" s="32" t="n"/>
      <c r="C71" s="120" t="n">
        <v>1</v>
      </c>
      <c r="D71" s="235" t="inlineStr">
        <is>
          <t>Encourages the importance of setting ambitious objectives throughout the Company.</t>
        </is>
      </c>
      <c r="E71" s="358" t="n"/>
      <c r="F71" s="359" t="n"/>
      <c r="G71" s="5" t="n">
        <v>1</v>
      </c>
      <c r="H71" s="360" t="inlineStr">
        <is>
          <t>Mid-year 3/3 – shows curiosity and experiments safely before rolling out changes.</t>
        </is>
      </c>
      <c r="I71" s="324" t="n"/>
      <c r="J71" s="324" t="n"/>
      <c r="K71" s="327" t="n"/>
      <c r="L71" s="5" t="n">
        <v>1</v>
      </c>
      <c r="M71" s="243" t="inlineStr">
        <is>
          <t>End-year 3/3 – helps create a calm, constructive incident culture.</t>
        </is>
      </c>
      <c r="N71" s="324" t="n"/>
      <c r="O71" s="324" t="n"/>
      <c r="P71" s="361" t="n"/>
      <c r="Q71" s="38" t="n"/>
    </row>
    <row r="72" ht="48" customHeight="1">
      <c r="B72" s="32" t="n"/>
      <c r="C72" s="120" t="n">
        <v>2</v>
      </c>
      <c r="D72" s="235" t="inlineStr">
        <is>
          <t>Defines clear structures, division of tasks and procedures that promote effectiveness and efficiency.</t>
        </is>
      </c>
      <c r="E72" s="358" t="n"/>
      <c r="F72" s="359" t="n"/>
      <c r="G72" s="6" t="n">
        <v>2</v>
      </c>
      <c r="H72" s="324" t="n"/>
      <c r="I72" s="324" t="n"/>
      <c r="J72" s="324" t="n"/>
      <c r="K72" s="327" t="n"/>
      <c r="L72" s="6" t="n">
        <v>3</v>
      </c>
      <c r="M72" s="324" t="n"/>
      <c r="N72" s="324" t="n"/>
      <c r="O72" s="324" t="n"/>
      <c r="P72" s="361" t="n"/>
      <c r="Q72" s="38" t="n"/>
    </row>
    <row r="73" ht="48" customHeight="1">
      <c r="B73" s="32" t="n"/>
      <c r="C73" s="120" t="n">
        <v>3</v>
      </c>
      <c r="D73" s="235" t="inlineStr">
        <is>
          <t>Specifies the measurable results expected from different business units, departments or teams.</t>
        </is>
      </c>
      <c r="E73" s="358" t="n"/>
      <c r="F73" s="359" t="n"/>
      <c r="G73" s="6" t="n">
        <v>2</v>
      </c>
      <c r="H73" s="324" t="n"/>
      <c r="I73" s="324" t="n"/>
      <c r="J73" s="324" t="n"/>
      <c r="K73" s="327" t="n"/>
      <c r="L73" s="6" t="n">
        <v>1</v>
      </c>
      <c r="M73" s="324" t="n"/>
      <c r="N73" s="324" t="n"/>
      <c r="O73" s="324" t="n"/>
      <c r="P73" s="361" t="n"/>
      <c r="Q73" s="38" t="n"/>
    </row>
    <row r="74" ht="48" customHeight="1">
      <c r="B74" s="32" t="n"/>
      <c r="C74" s="120" t="n">
        <v>4</v>
      </c>
      <c r="D74" s="235" t="inlineStr">
        <is>
          <t>Initiate changes that have a positive contribution to the results of the Company.</t>
        </is>
      </c>
      <c r="E74" s="358" t="n"/>
      <c r="F74" s="359" t="n"/>
      <c r="G74" s="6" t="n">
        <v>3</v>
      </c>
      <c r="H74" s="324" t="n"/>
      <c r="I74" s="324" t="n"/>
      <c r="J74" s="324" t="n"/>
      <c r="K74" s="327" t="n"/>
      <c r="L74" s="6" t="n">
        <v>3</v>
      </c>
      <c r="M74" s="324" t="n"/>
      <c r="N74" s="324" t="n"/>
      <c r="O74" s="324" t="n"/>
      <c r="P74" s="361" t="n"/>
      <c r="Q74" s="38" t="n"/>
    </row>
    <row r="75" ht="48" customHeight="1">
      <c r="B75" s="32" t="n"/>
      <c r="C75" s="120" t="n">
        <v>5</v>
      </c>
      <c r="D75" s="235" t="inlineStr">
        <is>
          <t>Focuses on the agreed objectives of the organisation or team and modifies policies or planned actions to achieve these.</t>
        </is>
      </c>
      <c r="E75" s="358" t="n"/>
      <c r="F75" s="359" t="n"/>
      <c r="G75" s="7" t="n">
        <v>3</v>
      </c>
      <c r="H75" s="362" t="n"/>
      <c r="I75" s="362" t="n"/>
      <c r="J75" s="362" t="n"/>
      <c r="K75" s="363" t="n"/>
      <c r="L75" s="7" t="n">
        <v>3</v>
      </c>
      <c r="M75" s="364" t="n"/>
      <c r="N75" s="364" t="n"/>
      <c r="O75" s="364" t="n"/>
      <c r="P75" s="365" t="n"/>
      <c r="Q75" s="38" t="n"/>
    </row>
    <row r="76" ht="18" customFormat="1" customHeight="1" s="86">
      <c r="B76" s="124" t="n"/>
      <c r="C76" s="125" t="n"/>
      <c r="D76" s="121" t="inlineStr">
        <is>
          <t>Committed:</t>
        </is>
      </c>
      <c r="E76" s="121" t="n"/>
      <c r="F76" s="123" t="n"/>
      <c r="G76" s="157">
        <f>ROUND(SUM(G77:G81)/5,0)</f>
        <v/>
      </c>
      <c r="H76" s="357" t="n"/>
      <c r="I76" s="355" t="n"/>
      <c r="J76" s="355" t="n"/>
      <c r="K76" s="356" t="n"/>
      <c r="L76" s="157">
        <f>ROUND(SUM(L77:L81)/5,0)</f>
        <v/>
      </c>
      <c r="M76" s="354" t="n"/>
      <c r="N76" s="355" t="n"/>
      <c r="O76" s="355" t="n"/>
      <c r="P76" s="356" t="n"/>
      <c r="Q76" s="87" t="n"/>
    </row>
    <row r="77" ht="48" customHeight="1">
      <c r="B77" s="32" t="n"/>
      <c r="C77" s="120" t="n">
        <v>1</v>
      </c>
      <c r="D77" s="235" t="inlineStr">
        <is>
          <t>Encourages others to focus on activities that align perfectly with the Company's objectives.</t>
        </is>
      </c>
      <c r="E77" s="358" t="n"/>
      <c r="F77" s="359" t="n"/>
      <c r="G77" s="5" t="n">
        <v>3</v>
      </c>
      <c r="H77" s="366" t="inlineStr">
        <is>
          <t>Mid-year 2/3 – documents decisions clearly and keeps stakeholders informed.</t>
        </is>
      </c>
      <c r="I77" s="324" t="n"/>
      <c r="J77" s="324" t="n"/>
      <c r="K77" s="327" t="n"/>
      <c r="L77" s="9" t="n">
        <v>3</v>
      </c>
      <c r="M77" s="257" t="inlineStr">
        <is>
          <t>End-year 3/3 – balances speed of delivery with code quality.</t>
        </is>
      </c>
      <c r="N77" s="324" t="n"/>
      <c r="O77" s="324" t="n"/>
      <c r="P77" s="361" t="n"/>
      <c r="Q77" s="38" t="n"/>
    </row>
    <row r="78" ht="48" customHeight="1">
      <c r="B78" s="32" t="n"/>
      <c r="C78" s="120" t="n">
        <v>2</v>
      </c>
      <c r="D78" s="235" t="inlineStr">
        <is>
          <t>Creates a ‘we-feeling’ through their effective way of communicating with others in the Company.</t>
        </is>
      </c>
      <c r="E78" s="358" t="n"/>
      <c r="F78" s="359" t="n"/>
      <c r="G78" s="6" t="n">
        <v>2</v>
      </c>
      <c r="H78" s="324" t="n"/>
      <c r="I78" s="324" t="n"/>
      <c r="J78" s="324" t="n"/>
      <c r="K78" s="327" t="n"/>
      <c r="L78" s="9" t="n">
        <v>1</v>
      </c>
      <c r="M78" s="324" t="n"/>
      <c r="N78" s="324" t="n"/>
      <c r="O78" s="324" t="n"/>
      <c r="P78" s="361" t="n"/>
      <c r="Q78" s="38" t="n"/>
    </row>
    <row r="79" ht="48" customHeight="1">
      <c r="B79" s="32" t="n"/>
      <c r="C79" s="120" t="n">
        <v>3</v>
      </c>
      <c r="D79" s="235" t="inlineStr">
        <is>
          <t>Demonstrates the importance of colleagues aligning their behaviour with the Company's culture. Acts as a role model for cultural behaviour.</t>
        </is>
      </c>
      <c r="E79" s="358" t="n"/>
      <c r="F79" s="359" t="n"/>
      <c r="G79" s="6" t="n">
        <v>1</v>
      </c>
      <c r="H79" s="324" t="n"/>
      <c r="I79" s="324" t="n"/>
      <c r="J79" s="324" t="n"/>
      <c r="K79" s="327" t="n"/>
      <c r="L79" s="9" t="n">
        <v>2</v>
      </c>
      <c r="M79" s="324" t="n"/>
      <c r="N79" s="324" t="n"/>
      <c r="O79" s="324" t="n"/>
      <c r="P79" s="361" t="n"/>
      <c r="Q79" s="38" t="n"/>
    </row>
    <row r="80" ht="48" customHeight="1">
      <c r="B80" s="32" t="n"/>
      <c r="C80" s="120" t="n">
        <v>4</v>
      </c>
      <c r="D80" s="235" t="inlineStr">
        <is>
          <t xml:space="preserve">Initiates only those activities or projects that perfectly align with the objectives of the Company.		</t>
        </is>
      </c>
      <c r="E80" s="358" t="n"/>
      <c r="F80" s="359" t="n"/>
      <c r="G80" s="6" t="n">
        <v>3</v>
      </c>
      <c r="H80" s="324" t="n"/>
      <c r="I80" s="324" t="n"/>
      <c r="J80" s="324" t="n"/>
      <c r="K80" s="327" t="n"/>
      <c r="L80" s="9" t="n">
        <v>2</v>
      </c>
      <c r="M80" s="324" t="n"/>
      <c r="N80" s="324" t="n"/>
      <c r="O80" s="324" t="n"/>
      <c r="P80" s="361" t="n"/>
      <c r="Q80" s="38" t="n"/>
    </row>
    <row r="81" ht="48" customHeight="1">
      <c r="B81" s="32" t="n"/>
      <c r="C81" s="120" t="n">
        <v>5</v>
      </c>
      <c r="D81" s="235" t="inlineStr">
        <is>
          <t>Demonstrates loyalty to management decisions, even when not in full agreement with them.</t>
        </is>
      </c>
      <c r="E81" s="358" t="n"/>
      <c r="F81" s="359" t="n"/>
      <c r="G81" s="7" t="n">
        <v>2</v>
      </c>
      <c r="H81" s="362" t="n"/>
      <c r="I81" s="362" t="n"/>
      <c r="J81" s="362" t="n"/>
      <c r="K81" s="363" t="n"/>
      <c r="L81" s="9" t="n">
        <v>3</v>
      </c>
      <c r="M81" s="364" t="n"/>
      <c r="N81" s="364" t="n"/>
      <c r="O81" s="364" t="n"/>
      <c r="P81" s="365" t="n"/>
      <c r="Q81" s="38" t="n"/>
    </row>
    <row r="82" ht="15" customHeight="1" thickBot="1">
      <c r="B82" s="32" t="n"/>
      <c r="C82" s="268" t="inlineStr">
        <is>
          <t>Entrepreneurial</t>
        </is>
      </c>
      <c r="D82" s="324" t="n"/>
      <c r="E82" s="126" t="n"/>
      <c r="F82" s="127" t="n"/>
      <c r="G82" s="128" t="n"/>
      <c r="H82" s="367" t="n"/>
      <c r="I82" s="324" t="n"/>
      <c r="J82" s="324" t="n"/>
      <c r="K82" s="327" t="n"/>
      <c r="L82" s="129" t="n"/>
      <c r="M82" s="368" t="n"/>
      <c r="N82" s="324" t="n"/>
      <c r="O82" s="324" t="n"/>
      <c r="P82" s="327" t="n"/>
      <c r="Q82" s="38" t="n"/>
    </row>
    <row r="83" ht="18.75" customFormat="1" customHeight="1" s="86" thickBot="1">
      <c r="B83" s="124" t="n"/>
      <c r="C83" s="125" t="n"/>
      <c r="D83" s="121" t="inlineStr">
        <is>
          <t>Entrepreneurship:</t>
        </is>
      </c>
      <c r="E83" s="121" t="n"/>
      <c r="F83" s="123" t="n"/>
      <c r="G83" s="157">
        <f>ROUND(SUM(G84:G88)/5,0)</f>
        <v/>
      </c>
      <c r="H83" s="357" t="n"/>
      <c r="I83" s="355" t="n"/>
      <c r="J83" s="355" t="n"/>
      <c r="K83" s="356" t="n"/>
      <c r="L83" s="157">
        <f>ROUND(SUM(L84:L88)/5,0)</f>
        <v/>
      </c>
      <c r="M83" s="354" t="n"/>
      <c r="N83" s="355" t="n"/>
      <c r="O83" s="355" t="n"/>
      <c r="P83" s="356" t="n"/>
      <c r="Q83" s="87" t="n"/>
    </row>
    <row r="84" ht="48" customHeight="1">
      <c r="B84" s="32" t="n"/>
      <c r="C84" s="120" t="n">
        <v>1</v>
      </c>
      <c r="D84" s="235" t="inlineStr">
        <is>
          <t>Makes it clear that they value employees proactively taking advantage of opportunities and responding to client signals.</t>
        </is>
      </c>
      <c r="E84" s="358" t="n"/>
      <c r="F84" s="359" t="n"/>
      <c r="G84" s="5" t="n">
        <v>3</v>
      </c>
      <c r="H84" s="366" t="inlineStr">
        <is>
          <t>Mid-year 3/3 – balances speed of delivery with code quality.</t>
        </is>
      </c>
      <c r="I84" s="324" t="n"/>
      <c r="J84" s="324" t="n"/>
      <c r="K84" s="327" t="n"/>
      <c r="L84" s="9" t="n">
        <v>2</v>
      </c>
      <c r="M84" s="257" t="inlineStr">
        <is>
          <t>End-year 1/3 – shows curiosity and experiments safely before rolling out changes.</t>
        </is>
      </c>
      <c r="N84" s="324" t="n"/>
      <c r="O84" s="324" t="n"/>
      <c r="P84" s="361" t="n"/>
      <c r="Q84" s="38" t="n"/>
    </row>
    <row r="85" ht="48" customHeight="1">
      <c r="B85" s="32" t="n"/>
      <c r="C85" s="120" t="n">
        <v>2</v>
      </c>
      <c r="D85" s="235" t="inlineStr">
        <is>
          <t xml:space="preserve">Encourages others to appreciate colleagues who create opportunities and take responsible risks to achieve financial advantage. </t>
        </is>
      </c>
      <c r="E85" s="358" t="n"/>
      <c r="F85" s="359" t="n"/>
      <c r="G85" s="6" t="n">
        <v>3</v>
      </c>
      <c r="H85" s="324" t="n"/>
      <c r="I85" s="324" t="n"/>
      <c r="J85" s="324" t="n"/>
      <c r="K85" s="327" t="n"/>
      <c r="L85" s="9" t="n">
        <v>2</v>
      </c>
      <c r="M85" s="324" t="n"/>
      <c r="N85" s="324" t="n"/>
      <c r="O85" s="324" t="n"/>
      <c r="P85" s="361" t="n"/>
      <c r="Q85" s="38" t="n"/>
    </row>
    <row r="86" ht="48" customHeight="1">
      <c r="B86" s="32" t="n"/>
      <c r="C86" s="120" t="n">
        <v>3</v>
      </c>
      <c r="D86" s="235" t="inlineStr">
        <is>
          <t>Invests in time and resources to make optimal use of potential opportunities in the market or field.</t>
        </is>
      </c>
      <c r="E86" s="358" t="n"/>
      <c r="F86" s="359" t="n"/>
      <c r="G86" s="6" t="n">
        <v>3</v>
      </c>
      <c r="H86" s="324" t="n"/>
      <c r="I86" s="324" t="n"/>
      <c r="J86" s="324" t="n"/>
      <c r="K86" s="327" t="n"/>
      <c r="L86" s="9" t="n">
        <v>2</v>
      </c>
      <c r="M86" s="324" t="n"/>
      <c r="N86" s="324" t="n"/>
      <c r="O86" s="324" t="n"/>
      <c r="P86" s="361" t="n"/>
      <c r="Q86" s="38" t="n"/>
    </row>
    <row r="87" ht="48" customHeight="1">
      <c r="B87" s="32" t="n"/>
      <c r="C87" s="120" t="n">
        <v>4</v>
      </c>
      <c r="D87" s="235" t="inlineStr">
        <is>
          <t>Searches for strategic positions in market that align with future business goals.</t>
        </is>
      </c>
      <c r="E87" s="358" t="n"/>
      <c r="F87" s="359" t="n"/>
      <c r="G87" s="6" t="n">
        <v>2</v>
      </c>
      <c r="H87" s="324" t="n"/>
      <c r="I87" s="324" t="n"/>
      <c r="J87" s="324" t="n"/>
      <c r="K87" s="327" t="n"/>
      <c r="L87" s="9" t="n">
        <v>3</v>
      </c>
      <c r="M87" s="324" t="n"/>
      <c r="N87" s="324" t="n"/>
      <c r="O87" s="324" t="n"/>
      <c r="P87" s="361" t="n"/>
      <c r="Q87" s="38" t="n"/>
    </row>
    <row r="88" ht="48" customHeight="1" thickBot="1">
      <c r="B88" s="32" t="n"/>
      <c r="C88" s="120" t="n">
        <v>5</v>
      </c>
      <c r="D88" s="235" t="inlineStr">
        <is>
          <t>Focuses on integrating separate business plans into one business plan for the entire Company.</t>
        </is>
      </c>
      <c r="E88" s="358" t="n"/>
      <c r="F88" s="359" t="n"/>
      <c r="G88" s="7" t="n">
        <v>3</v>
      </c>
      <c r="H88" s="362" t="n"/>
      <c r="I88" s="362" t="n"/>
      <c r="J88" s="362" t="n"/>
      <c r="K88" s="363" t="n"/>
      <c r="L88" s="8" t="n">
        <v>1</v>
      </c>
      <c r="M88" s="364" t="n"/>
      <c r="N88" s="364" t="n"/>
      <c r="O88" s="364" t="n"/>
      <c r="P88" s="365" t="n"/>
      <c r="Q88" s="38" t="n"/>
    </row>
    <row r="89" ht="18" customFormat="1" customHeight="1" s="86" thickBot="1">
      <c r="B89" s="124" t="n"/>
      <c r="C89" s="125" t="n"/>
      <c r="D89" s="121" t="inlineStr">
        <is>
          <t>Ambition:</t>
        </is>
      </c>
      <c r="E89" s="121" t="n"/>
      <c r="F89" s="123" t="n"/>
      <c r="G89" s="157">
        <f>ROUND(SUM(G90:G94)/5,0)</f>
        <v/>
      </c>
      <c r="H89" s="357" t="n"/>
      <c r="I89" s="355" t="n"/>
      <c r="J89" s="355" t="n"/>
      <c r="K89" s="356" t="n"/>
      <c r="L89" s="157">
        <f>ROUND(SUM(L90:L94)/5,0)</f>
        <v/>
      </c>
      <c r="M89" s="354" t="n"/>
      <c r="N89" s="355" t="n"/>
      <c r="O89" s="355" t="n"/>
      <c r="P89" s="356" t="n"/>
      <c r="Q89" s="87" t="n"/>
    </row>
    <row r="90" ht="48" customHeight="1">
      <c r="B90" s="32" t="n"/>
      <c r="C90" s="120" t="n">
        <v>1</v>
      </c>
      <c r="D90" s="235" t="inlineStr">
        <is>
          <t>Creates preconditions within the Company to have regular discussions about employee ambitions.</t>
        </is>
      </c>
      <c r="E90" s="358" t="n"/>
      <c r="F90" s="359" t="n"/>
      <c r="G90" s="5" t="n">
        <v>2</v>
      </c>
      <c r="H90" s="315" t="inlineStr">
        <is>
          <t>Mid-year 2/3 – helps create a calm, constructive incident culture.</t>
        </is>
      </c>
      <c r="I90" s="324" t="n"/>
      <c r="J90" s="324" t="n"/>
      <c r="K90" s="369" t="n"/>
      <c r="L90" s="9" t="n">
        <v>1</v>
      </c>
      <c r="M90" s="315" t="inlineStr">
        <is>
          <t>End-year 1/3 – is open to feedback and adjusts approach quickly.</t>
        </is>
      </c>
      <c r="N90" s="324" t="n"/>
      <c r="O90" s="324" t="n"/>
      <c r="P90" s="369" t="n"/>
      <c r="Q90" s="38" t="n"/>
    </row>
    <row r="91" ht="48" customHeight="1">
      <c r="B91" s="32" t="n"/>
      <c r="C91" s="120" t="n">
        <v>2</v>
      </c>
      <c r="D91" s="235" t="inlineStr">
        <is>
          <t>Clearly communicates advancement and promotion opportunities within the Company.</t>
        </is>
      </c>
      <c r="E91" s="358" t="n"/>
      <c r="F91" s="359" t="n"/>
      <c r="G91" s="6" t="n">
        <v>1</v>
      </c>
      <c r="H91" s="324" t="n"/>
      <c r="I91" s="324" t="n"/>
      <c r="J91" s="324" t="n"/>
      <c r="K91" s="369" t="n"/>
      <c r="L91" s="9" t="n">
        <v>3</v>
      </c>
      <c r="M91" s="324" t="n"/>
      <c r="N91" s="324" t="n"/>
      <c r="O91" s="324" t="n"/>
      <c r="P91" s="369" t="n"/>
      <c r="Q91" s="38" t="n"/>
    </row>
    <row r="92" ht="48" customHeight="1">
      <c r="B92" s="32" t="n"/>
      <c r="C92" s="120" t="n">
        <v>3</v>
      </c>
      <c r="D92" s="235" t="inlineStr">
        <is>
          <t>Encourages others (colleagues, direct reports, rema members) to take on new responsibilities.</t>
        </is>
      </c>
      <c r="E92" s="358" t="n"/>
      <c r="F92" s="359" t="n"/>
      <c r="G92" s="6" t="n">
        <v>2</v>
      </c>
      <c r="H92" s="324" t="n"/>
      <c r="I92" s="324" t="n"/>
      <c r="J92" s="324" t="n"/>
      <c r="K92" s="369" t="n"/>
      <c r="L92" s="9" t="n">
        <v>1</v>
      </c>
      <c r="M92" s="324" t="n"/>
      <c r="N92" s="324" t="n"/>
      <c r="O92" s="324" t="n"/>
      <c r="P92" s="369" t="n"/>
      <c r="Q92" s="38" t="n"/>
    </row>
    <row r="93" ht="48" customHeight="1">
      <c r="B93" s="32" t="n"/>
      <c r="C93" s="120" t="n">
        <v>4</v>
      </c>
      <c r="D93" s="235" t="inlineStr">
        <is>
          <t>Takes on external responsibilities that could positively influence the reputation of their business unit or organisation, such as management role.</t>
        </is>
      </c>
      <c r="E93" s="358" t="n"/>
      <c r="F93" s="359" t="n"/>
      <c r="G93" s="6" t="n">
        <v>3</v>
      </c>
      <c r="H93" s="324" t="n"/>
      <c r="I93" s="324" t="n"/>
      <c r="J93" s="324" t="n"/>
      <c r="K93" s="369" t="n"/>
      <c r="L93" s="9" t="n">
        <v>3</v>
      </c>
      <c r="M93" s="324" t="n"/>
      <c r="N93" s="324" t="n"/>
      <c r="O93" s="324" t="n"/>
      <c r="P93" s="369" t="n"/>
      <c r="Q93" s="38" t="n"/>
    </row>
    <row r="94" ht="48" customHeight="1">
      <c r="B94" s="32" t="n"/>
      <c r="C94" s="120" t="n">
        <v>5</v>
      </c>
      <c r="D94" s="235" t="inlineStr">
        <is>
          <t>Takes a leading role in activities/projects that are important for the BU or wider organisation.</t>
        </is>
      </c>
      <c r="E94" s="358" t="n"/>
      <c r="F94" s="359" t="n"/>
      <c r="G94" s="7" t="n">
        <v>2</v>
      </c>
      <c r="H94" s="370" t="n"/>
      <c r="I94" s="370" t="n"/>
      <c r="J94" s="370" t="n"/>
      <c r="K94" s="371" t="n"/>
      <c r="L94" s="8" t="n">
        <v>1</v>
      </c>
      <c r="M94" s="370" t="n"/>
      <c r="N94" s="370" t="n"/>
      <c r="O94" s="370" t="n"/>
      <c r="P94" s="371" t="n"/>
      <c r="Q94" s="38" t="n"/>
    </row>
    <row r="95" ht="15" customHeight="1" thickBot="1">
      <c r="B95" s="32" t="n"/>
      <c r="C95" s="288" t="inlineStr">
        <is>
          <t>Innovative</t>
        </is>
      </c>
      <c r="D95" s="355" t="n"/>
      <c r="E95" s="130" t="n"/>
      <c r="F95" s="131" t="n"/>
      <c r="G95" s="132" t="n"/>
      <c r="H95" s="289" t="n"/>
      <c r="I95" s="355" t="n"/>
      <c r="J95" s="355" t="n"/>
      <c r="K95" s="372" t="n"/>
      <c r="L95" s="133" t="n"/>
      <c r="M95" s="292" t="n"/>
      <c r="N95" s="355" t="n"/>
      <c r="O95" s="355" t="n"/>
      <c r="P95" s="372" t="n"/>
      <c r="Q95" s="38" t="n"/>
    </row>
    <row r="96" ht="18" customFormat="1" customHeight="1" s="86" thickBot="1">
      <c r="B96" s="124" t="n"/>
      <c r="C96" s="134" t="n"/>
      <c r="D96" s="121" t="inlineStr">
        <is>
          <t>Market Driven:</t>
        </is>
      </c>
      <c r="E96" s="121" t="n"/>
      <c r="F96" s="123" t="n"/>
      <c r="G96" s="157">
        <f>ROUND(SUM(G97:G101)/5,0)</f>
        <v/>
      </c>
      <c r="H96" s="357" t="n"/>
      <c r="I96" s="355" t="n"/>
      <c r="J96" s="355" t="n"/>
      <c r="K96" s="356" t="n"/>
      <c r="L96" s="157">
        <f>ROUND(SUM(L97:L101)/5,0)</f>
        <v/>
      </c>
      <c r="M96" s="354" t="n"/>
      <c r="N96" s="355" t="n"/>
      <c r="O96" s="355" t="n"/>
      <c r="P96" s="356" t="n"/>
      <c r="Q96" s="87" t="n"/>
    </row>
    <row r="97" ht="48" customHeight="1">
      <c r="B97" s="32" t="n"/>
      <c r="C97" s="120" t="n">
        <v>1</v>
      </c>
      <c r="D97" s="278" t="inlineStr">
        <is>
          <t>Advocates the importance of proactively tracking market and technological developments. Translates these insights into actionable solutions for the business unit or organisation.</t>
        </is>
      </c>
      <c r="E97" s="355" t="n"/>
      <c r="F97" s="356" t="n"/>
      <c r="G97" s="5" t="n">
        <v>1</v>
      </c>
      <c r="H97" s="279" t="inlineStr">
        <is>
          <t>Mid-year 2/3 – is open to feedback and adjusts approach quickly.</t>
        </is>
      </c>
      <c r="I97" s="324" t="n"/>
      <c r="J97" s="324" t="n"/>
      <c r="K97" s="373" t="n"/>
      <c r="L97" s="9" t="n">
        <v>2</v>
      </c>
      <c r="M97" s="279" t="inlineStr">
        <is>
          <t>End-year 3/3 – is open to feedback and adjusts approach quickly.</t>
        </is>
      </c>
      <c r="N97" s="324" t="n"/>
      <c r="O97" s="324" t="n"/>
      <c r="P97" s="373" t="n"/>
      <c r="Q97" s="38" t="n"/>
    </row>
    <row r="98" ht="48" customHeight="1">
      <c r="B98" s="32" t="n"/>
      <c r="C98" s="120" t="n">
        <v>2</v>
      </c>
      <c r="D98" s="278" t="inlineStr">
        <is>
          <t>Invests (time and/or money) to accquire knowledge about new market developments and new application possibilities.</t>
        </is>
      </c>
      <c r="E98" s="355" t="n"/>
      <c r="F98" s="356" t="n"/>
      <c r="G98" s="6" t="n">
        <v>3</v>
      </c>
      <c r="H98" s="324" t="n"/>
      <c r="I98" s="324" t="n"/>
      <c r="J98" s="324" t="n"/>
      <c r="K98" s="373" t="n"/>
      <c r="L98" s="9" t="n">
        <v>1</v>
      </c>
      <c r="M98" s="324" t="n"/>
      <c r="N98" s="324" t="n"/>
      <c r="O98" s="324" t="n"/>
      <c r="P98" s="373" t="n"/>
      <c r="Q98" s="38" t="n"/>
    </row>
    <row r="99" ht="48" customHeight="1">
      <c r="B99" s="32" t="n"/>
      <c r="C99" s="120" t="n">
        <v>3</v>
      </c>
      <c r="D99" s="278" t="inlineStr">
        <is>
          <t>Translates market developments to various relevant internal policies, external opportunities and business solutions.</t>
        </is>
      </c>
      <c r="E99" s="355" t="n"/>
      <c r="F99" s="356" t="n"/>
      <c r="G99" s="6" t="n">
        <v>1</v>
      </c>
      <c r="H99" s="324" t="n"/>
      <c r="I99" s="324" t="n"/>
      <c r="J99" s="324" t="n"/>
      <c r="K99" s="373" t="n"/>
      <c r="L99" s="9" t="n">
        <v>1</v>
      </c>
      <c r="M99" s="324" t="n"/>
      <c r="N99" s="324" t="n"/>
      <c r="O99" s="324" t="n"/>
      <c r="P99" s="373" t="n"/>
      <c r="Q99" s="38" t="n"/>
    </row>
    <row r="100" ht="48" customHeight="1">
      <c r="B100" s="32" t="n"/>
      <c r="C100" s="120" t="n">
        <v>4</v>
      </c>
      <c r="D100" s="278" t="inlineStr">
        <is>
          <t>Acts as a specialist in field of expertise and/or market.</t>
        </is>
      </c>
      <c r="E100" s="355" t="n"/>
      <c r="F100" s="356" t="n"/>
      <c r="G100" s="6" t="n">
        <v>1</v>
      </c>
      <c r="H100" s="324" t="n"/>
      <c r="I100" s="324" t="n"/>
      <c r="J100" s="324" t="n"/>
      <c r="K100" s="373" t="n"/>
      <c r="L100" s="9" t="n">
        <v>2</v>
      </c>
      <c r="M100" s="324" t="n"/>
      <c r="N100" s="324" t="n"/>
      <c r="O100" s="324" t="n"/>
      <c r="P100" s="373" t="n"/>
      <c r="Q100" s="38" t="n"/>
    </row>
    <row r="101" ht="48" customHeight="1" thickBot="1">
      <c r="B101" s="32" t="n"/>
      <c r="C101" s="120" t="n">
        <v>5</v>
      </c>
      <c r="D101" s="278" t="inlineStr">
        <is>
          <t>Explains market developments, industry trends and technology within own business unit and organisation. Converts these insights into opportunities for both the organisation and customers.</t>
        </is>
      </c>
      <c r="E101" s="355" t="n"/>
      <c r="F101" s="356" t="n"/>
      <c r="G101" s="7" t="n">
        <v>2</v>
      </c>
      <c r="H101" s="362" t="n"/>
      <c r="I101" s="362" t="n"/>
      <c r="J101" s="362" t="n"/>
      <c r="K101" s="374" t="n"/>
      <c r="L101" s="8" t="n">
        <v>3</v>
      </c>
      <c r="M101" s="362" t="n"/>
      <c r="N101" s="362" t="n"/>
      <c r="O101" s="362" t="n"/>
      <c r="P101" s="374" t="n"/>
      <c r="Q101" s="38" t="n"/>
    </row>
    <row r="102" ht="18" customFormat="1" customHeight="1" s="86" thickBot="1">
      <c r="B102" s="124" t="n"/>
      <c r="C102" s="125" t="n"/>
      <c r="D102" s="121" t="inlineStr">
        <is>
          <t>Customer focused:</t>
        </is>
      </c>
      <c r="E102" s="121" t="n"/>
      <c r="F102" s="123" t="n"/>
      <c r="G102" s="157">
        <f>ROUND(SUM(G103:G107)/5,0)</f>
        <v/>
      </c>
      <c r="H102" s="357" t="n"/>
      <c r="I102" s="355" t="n"/>
      <c r="J102" s="355" t="n"/>
      <c r="K102" s="356" t="n"/>
      <c r="L102" s="157">
        <f>ROUND(SUM(L103:L107)/5,0)</f>
        <v/>
      </c>
      <c r="M102" s="354" t="n"/>
      <c r="N102" s="355" t="n"/>
      <c r="O102" s="355" t="n"/>
      <c r="P102" s="356" t="n"/>
      <c r="Q102" s="87" t="n"/>
    </row>
    <row r="103" ht="48" customHeight="1">
      <c r="B103" s="32" t="n"/>
      <c r="C103" s="120" t="n">
        <v>1</v>
      </c>
      <c r="D103" s="278" t="inlineStr">
        <is>
          <t>Promotes the importance of providing state-of-the-art services to customers, considering the overall environmental context and company specific solutions.</t>
        </is>
      </c>
      <c r="E103" s="355" t="n"/>
      <c r="F103" s="356" t="n"/>
      <c r="G103" s="5" t="n">
        <v>2</v>
      </c>
      <c r="H103" s="279" t="inlineStr">
        <is>
          <t>Mid-year 2/3 – shows curiosity and experiments safely before rolling out changes.</t>
        </is>
      </c>
      <c r="I103" s="324" t="n"/>
      <c r="J103" s="324" t="n"/>
      <c r="K103" s="373" t="n"/>
      <c r="L103" s="9" t="n">
        <v>1</v>
      </c>
      <c r="M103" s="279" t="inlineStr">
        <is>
          <t>End-year 2/3 – shows curiosity and experiments safely before rolling out changes.</t>
        </is>
      </c>
      <c r="N103" s="324" t="n"/>
      <c r="O103" s="324" t="n"/>
      <c r="P103" s="373" t="n"/>
      <c r="Q103" s="38" t="n"/>
    </row>
    <row r="104" ht="48" customHeight="1">
      <c r="B104" s="32" t="n"/>
      <c r="C104" s="120" t="n">
        <v>2</v>
      </c>
      <c r="D104" s="278" t="inlineStr">
        <is>
          <t>Focuses on researching future long-term customer needs and desires.</t>
        </is>
      </c>
      <c r="E104" s="355" t="n"/>
      <c r="F104" s="356" t="n"/>
      <c r="G104" s="6" t="n">
        <v>2</v>
      </c>
      <c r="H104" s="324" t="n"/>
      <c r="I104" s="324" t="n"/>
      <c r="J104" s="324" t="n"/>
      <c r="K104" s="373" t="n"/>
      <c r="L104" s="9" t="n">
        <v>1</v>
      </c>
      <c r="M104" s="324" t="n"/>
      <c r="N104" s="324" t="n"/>
      <c r="O104" s="324" t="n"/>
      <c r="P104" s="373" t="n"/>
      <c r="Q104" s="38" t="n"/>
    </row>
    <row r="105" ht="48" customHeight="1">
      <c r="B105" s="32" t="n"/>
      <c r="C105" s="120" t="n">
        <v>3</v>
      </c>
      <c r="D105" s="278" t="inlineStr">
        <is>
          <t>Builds and maintains sustainable, regular contact with potential and existing customers who are important to the business unit or organisation.</t>
        </is>
      </c>
      <c r="E105" s="355" t="n"/>
      <c r="F105" s="356" t="n"/>
      <c r="G105" s="6" t="n">
        <v>1</v>
      </c>
      <c r="H105" s="324" t="n"/>
      <c r="I105" s="324" t="n"/>
      <c r="J105" s="324" t="n"/>
      <c r="K105" s="373" t="n"/>
      <c r="L105" s="9" t="n">
        <v>2</v>
      </c>
      <c r="M105" s="324" t="n"/>
      <c r="N105" s="324" t="n"/>
      <c r="O105" s="324" t="n"/>
      <c r="P105" s="373" t="n"/>
      <c r="Q105" s="38" t="n"/>
    </row>
    <row r="106" ht="48" customHeight="1">
      <c r="B106" s="32" t="n"/>
      <c r="C106" s="120" t="n">
        <v>4</v>
      </c>
      <c r="D106" s="278" t="inlineStr">
        <is>
          <t>Coordinates multiple departments and areas of expertise to deliver comprehensive services to customers.</t>
        </is>
      </c>
      <c r="E106" s="355" t="n"/>
      <c r="F106" s="356" t="n"/>
      <c r="G106" s="6" t="n">
        <v>2</v>
      </c>
      <c r="H106" s="324" t="n"/>
      <c r="I106" s="324" t="n"/>
      <c r="J106" s="324" t="n"/>
      <c r="K106" s="373" t="n"/>
      <c r="L106" s="9" t="n">
        <v>1</v>
      </c>
      <c r="M106" s="324" t="n"/>
      <c r="N106" s="324" t="n"/>
      <c r="O106" s="324" t="n"/>
      <c r="P106" s="373" t="n"/>
      <c r="Q106" s="38" t="n"/>
    </row>
    <row r="107" ht="48" customHeight="1">
      <c r="B107" s="32" t="n"/>
      <c r="C107" s="120" t="n">
        <v>5</v>
      </c>
      <c r="D107" s="278" t="inlineStr">
        <is>
          <t>Continuously takes specific actions to increase customer satisfaction.</t>
        </is>
      </c>
      <c r="E107" s="355" t="n"/>
      <c r="F107" s="356" t="n"/>
      <c r="G107" s="7" t="n">
        <v>2</v>
      </c>
      <c r="H107" s="362" t="n"/>
      <c r="I107" s="362" t="n"/>
      <c r="J107" s="362" t="n"/>
      <c r="K107" s="374" t="n"/>
      <c r="L107" s="8" t="n">
        <v>2</v>
      </c>
      <c r="M107" s="362" t="n"/>
      <c r="N107" s="362" t="n"/>
      <c r="O107" s="362" t="n"/>
      <c r="P107" s="374" t="n"/>
      <c r="Q107" s="38" t="n"/>
    </row>
    <row r="108" ht="18" customHeight="1" thickBot="1">
      <c r="B108" s="59" t="n"/>
      <c r="C108" s="170" t="inlineStr">
        <is>
          <t>Total:</t>
        </is>
      </c>
      <c r="D108" s="346" t="n"/>
      <c r="E108" s="346" t="n"/>
      <c r="F108" s="346" t="n"/>
      <c r="G108" s="163">
        <f>G70+G76+G83+G89+G96+G102</f>
        <v/>
      </c>
      <c r="H108" s="309" t="n"/>
      <c r="I108" s="346" t="n"/>
      <c r="J108" s="346" t="n"/>
      <c r="K108" s="346" t="n"/>
      <c r="L108" s="165">
        <f>L70+L76+L83+L89+L96+L102</f>
        <v/>
      </c>
      <c r="M108" s="309" t="n"/>
      <c r="N108" s="346" t="n"/>
      <c r="O108" s="346" t="n"/>
      <c r="P108" s="346" t="n"/>
      <c r="Q108" s="38" t="n"/>
    </row>
    <row r="109" ht="15.75" customHeight="1" thickBot="1">
      <c r="B109" s="59" t="n"/>
      <c r="C109" s="171" t="inlineStr">
        <is>
          <t>Score on the HOW axis:</t>
        </is>
      </c>
      <c r="D109" s="375" t="n"/>
      <c r="E109" s="375" t="n"/>
      <c r="F109" s="375" t="n"/>
      <c r="G109" s="164">
        <f>IF(G108=0,0,IF(OR(G70=1,G76=1,G83=1,G89=1,G96=1,G102=1),1,IF(G108&lt;12,1,IF(G108&gt;15,3,2))))</f>
        <v/>
      </c>
      <c r="H109" s="311" t="n"/>
      <c r="I109" s="376" t="n"/>
      <c r="J109" s="376" t="n"/>
      <c r="K109" s="376" t="n"/>
      <c r="L109" s="164">
        <f>IF(L108=0,0,IF(OR(L70=1,L76=1,L83=1,L89=1,L96=1,L102=1),1,IF(L108&lt;12,1,IF(L108&gt;15,3,2))))</f>
        <v/>
      </c>
      <c r="M109" s="311" t="n"/>
      <c r="N109" s="376" t="n"/>
      <c r="O109" s="376" t="n"/>
      <c r="P109" s="376" t="n"/>
      <c r="Q109" s="38" t="n"/>
    </row>
    <row r="110" ht="15" customHeight="1" thickBot="1">
      <c r="B110" s="32" t="n"/>
      <c r="C110" s="135" t="n"/>
      <c r="D110" s="136" t="n"/>
      <c r="E110" s="136" t="n"/>
      <c r="F110" s="136" t="n"/>
      <c r="G110" s="137" t="n"/>
      <c r="H110" s="313" t="n"/>
      <c r="I110" s="324" t="n"/>
      <c r="J110" s="324" t="n"/>
      <c r="K110" s="324" t="n"/>
      <c r="L110" s="137" t="n"/>
      <c r="M110" s="313" t="n"/>
      <c r="N110" s="324" t="n"/>
      <c r="O110" s="324" t="n"/>
      <c r="P110" s="324" t="n"/>
      <c r="Q110" s="38" t="n"/>
    </row>
    <row r="111" ht="15.75" customHeight="1" thickBot="1">
      <c r="B111" s="32" t="n"/>
      <c r="C111" s="298" t="inlineStr">
        <is>
          <t>FINAL SCORE</t>
        </is>
      </c>
      <c r="D111" s="324" t="n"/>
      <c r="E111" s="324" t="n"/>
      <c r="F111" s="349" t="n"/>
      <c r="G111" s="166">
        <f>IF(OR(G59="",G109=0),"",CONCATENATE(G59,".",G109))</f>
        <v/>
      </c>
      <c r="H111" s="299" t="n"/>
      <c r="I111" s="324" t="n"/>
      <c r="J111" s="324" t="n"/>
      <c r="K111" s="324" t="n"/>
      <c r="L111" s="166">
        <f>IF(OR(J59="",L109=0),"",CONCATENATE(J59,".",L109))</f>
        <v/>
      </c>
      <c r="M111" s="299" t="n"/>
      <c r="N111" s="324" t="n"/>
      <c r="O111" s="324" t="n"/>
      <c r="P111" s="324" t="n"/>
      <c r="Q111" s="38" t="n"/>
    </row>
    <row r="112" ht="15" customFormat="1" customHeight="1" s="82">
      <c r="B112" s="103" t="n"/>
      <c r="C112" s="138" t="n"/>
      <c r="D112" s="138" t="n"/>
      <c r="E112" s="138" t="n"/>
      <c r="F112" s="138" t="n"/>
      <c r="G112" s="139" t="n"/>
      <c r="H112" s="140" t="n"/>
      <c r="I112" s="140" t="n"/>
      <c r="J112" s="139" t="n"/>
      <c r="K112" s="140" t="n"/>
      <c r="N112" s="139" t="n"/>
      <c r="O112" s="140" t="n"/>
      <c r="Q112" s="83" t="n"/>
    </row>
    <row r="113" ht="15" customFormat="1" customHeight="1" s="82">
      <c r="B113" s="103" t="n"/>
      <c r="C113" s="141" t="inlineStr">
        <is>
          <t xml:space="preserve">Mid-Year Acknowledgement </t>
        </is>
      </c>
      <c r="D113" s="142" t="n"/>
      <c r="E113" s="142" t="n"/>
      <c r="F113" s="142" t="n"/>
      <c r="G113" s="143" t="n"/>
      <c r="H113" s="140" t="n"/>
      <c r="I113" s="140" t="n"/>
      <c r="J113" s="139" t="n"/>
      <c r="K113" s="140" t="n"/>
      <c r="N113" s="139" t="n"/>
      <c r="O113" s="140" t="n"/>
      <c r="Q113" s="83" t="n"/>
    </row>
    <row r="114" ht="23.25" customFormat="1" customHeight="1" s="82">
      <c r="B114" s="103" t="n"/>
      <c r="C114" s="296" t="inlineStr">
        <is>
          <t xml:space="preserve">I hereby acknowledge that I have reviewed and understand the contents of this Performance Review form. I confirm I had the opportunity to discuss the evaluation with my manager. </t>
        </is>
      </c>
      <c r="D114" s="324" t="n"/>
      <c r="E114" s="324" t="n"/>
      <c r="F114" s="324" t="n"/>
      <c r="G114" s="324" t="n"/>
      <c r="H114" s="324" t="n"/>
      <c r="I114" s="324" t="n"/>
      <c r="J114" s="324" t="n"/>
      <c r="K114" s="324" t="n"/>
      <c r="L114" s="324" t="n"/>
      <c r="M114" s="324" t="n"/>
      <c r="N114" s="324" t="n"/>
      <c r="O114" s="324" t="n"/>
      <c r="P114" s="324" t="n"/>
      <c r="Q114" s="83" t="n"/>
    </row>
    <row r="115" ht="15" customFormat="1" customHeight="1" s="82">
      <c r="B115" s="103" t="n"/>
      <c r="C115" s="144" t="n"/>
      <c r="D115" s="145" t="n"/>
      <c r="E115" s="138" t="n"/>
      <c r="F115" s="138" t="n"/>
      <c r="G115" s="139" t="n"/>
      <c r="H115" s="140" t="n"/>
      <c r="I115" s="140" t="n"/>
      <c r="J115" s="139" t="n"/>
      <c r="K115" s="140" t="n"/>
      <c r="N115" s="139" t="n"/>
      <c r="O115" s="140" t="n"/>
      <c r="Q115" s="83" t="n"/>
    </row>
    <row r="116" ht="15" customFormat="1" customHeight="1" s="82">
      <c r="B116" s="103" t="n"/>
      <c r="C116" s="146" t="inlineStr">
        <is>
          <t>Employee Signature:</t>
        </is>
      </c>
      <c r="D116" s="145" t="n"/>
      <c r="E116" s="19" t="n"/>
      <c r="F116" s="19" t="n"/>
      <c r="G116" s="20" t="n"/>
      <c r="H116" s="21" t="n"/>
      <c r="I116" s="147" t="inlineStr">
        <is>
          <t>Date:</t>
        </is>
      </c>
      <c r="J116" s="19" t="n"/>
      <c r="K116" s="19" t="n"/>
      <c r="L116" s="20" t="n"/>
      <c r="M116" s="21" t="n"/>
      <c r="N116" s="139" t="n"/>
      <c r="O116" s="140" t="n"/>
      <c r="Q116" s="83" t="n"/>
    </row>
    <row r="117" ht="15" customFormat="1" customHeight="1" s="82">
      <c r="B117" s="103" t="n"/>
      <c r="D117" s="145" t="n"/>
      <c r="E117" s="138" t="n"/>
      <c r="F117" s="138" t="n"/>
      <c r="G117" s="139" t="n"/>
      <c r="H117" s="140" t="n"/>
      <c r="I117" s="140" t="n"/>
      <c r="J117" s="139" t="n"/>
      <c r="K117" s="140" t="n"/>
      <c r="N117" s="139" t="n"/>
      <c r="O117" s="140" t="n"/>
      <c r="Q117" s="83" t="n"/>
    </row>
    <row r="118" ht="26.25" customFormat="1" customHeight="1" s="82">
      <c r="B118" s="103" t="n"/>
      <c r="C118" s="296" t="inlineStr">
        <is>
          <t>I confirm I have discussed the contents of this PPM form with the employee. I confirm the evaluations, comments and objectives herin, accurately reflect the employee's role and performance. I acknowledge my responsibility for fairness and accuracy of their performance appraisal. I confirm the employee has not breached any Company or policies, to the best of my knowledge</t>
        </is>
      </c>
      <c r="D118" s="324" t="n"/>
      <c r="E118" s="324" t="n"/>
      <c r="F118" s="324" t="n"/>
      <c r="G118" s="324" t="n"/>
      <c r="H118" s="324" t="n"/>
      <c r="I118" s="324" t="n"/>
      <c r="J118" s="324" t="n"/>
      <c r="K118" s="324" t="n"/>
      <c r="L118" s="324" t="n"/>
      <c r="M118" s="324" t="n"/>
      <c r="N118" s="324" t="n"/>
      <c r="O118" s="324" t="n"/>
      <c r="P118" s="324" t="n"/>
      <c r="Q118" s="83" t="n"/>
    </row>
    <row r="119" ht="15" customFormat="1" customHeight="1" s="82">
      <c r="B119" s="103" t="n"/>
      <c r="C119" s="144" t="n"/>
      <c r="D119" s="138" t="n"/>
      <c r="E119" s="138" t="n"/>
      <c r="F119" s="138" t="n"/>
      <c r="G119" s="139" t="n"/>
      <c r="H119" s="140" t="n"/>
      <c r="I119" s="140" t="n"/>
      <c r="J119" s="139" t="n"/>
      <c r="K119" s="140" t="n"/>
      <c r="N119" s="139" t="n"/>
      <c r="O119" s="140" t="n"/>
      <c r="Q119" s="83" t="n"/>
    </row>
    <row r="120" ht="15" customFormat="1" customHeight="1" s="82">
      <c r="B120" s="103" t="n"/>
      <c r="C120" s="148" t="inlineStr">
        <is>
          <t>Line Manager Signature:</t>
        </is>
      </c>
      <c r="D120" s="138" t="n"/>
      <c r="E120" s="19" t="n"/>
      <c r="F120" s="19" t="n"/>
      <c r="G120" s="20" t="n"/>
      <c r="H120" s="21" t="n"/>
      <c r="I120" s="147" t="inlineStr">
        <is>
          <t>Date:</t>
        </is>
      </c>
      <c r="J120" s="19" t="n"/>
      <c r="K120" s="19" t="n"/>
      <c r="L120" s="20" t="n"/>
      <c r="M120" s="21" t="n"/>
      <c r="N120" s="139" t="n"/>
      <c r="O120" s="140" t="n"/>
      <c r="Q120" s="83" t="n"/>
    </row>
    <row r="121" ht="15" customFormat="1" customHeight="1" s="82">
      <c r="B121" s="103" t="n"/>
      <c r="C121" s="138" t="n"/>
      <c r="D121" s="138" t="n"/>
      <c r="E121" s="138" t="n"/>
      <c r="F121" s="138" t="n"/>
      <c r="G121" s="139" t="n"/>
      <c r="H121" s="140" t="n"/>
      <c r="I121" s="140" t="n"/>
      <c r="J121" s="139" t="n"/>
      <c r="K121" s="140" t="n"/>
      <c r="N121" s="139" t="n"/>
      <c r="O121" s="140" t="n"/>
      <c r="Q121" s="83" t="n"/>
    </row>
    <row r="122" ht="15" customFormat="1" customHeight="1" s="82">
      <c r="B122" s="103" t="n"/>
      <c r="C122" s="141" t="inlineStr">
        <is>
          <t xml:space="preserve">End of Year Acknowledgement </t>
        </is>
      </c>
      <c r="D122" s="142" t="n"/>
      <c r="E122" s="142" t="n"/>
      <c r="F122" s="142" t="n"/>
      <c r="G122" s="143" t="n"/>
      <c r="H122" s="140" t="n"/>
      <c r="I122" s="140" t="n"/>
      <c r="J122" s="139" t="n"/>
      <c r="K122" s="140" t="n"/>
      <c r="N122" s="139" t="n"/>
      <c r="O122" s="140" t="n"/>
      <c r="Q122" s="83" t="n"/>
    </row>
    <row r="123" ht="23.25" customFormat="1" customHeight="1" s="82">
      <c r="B123" s="103" t="n"/>
      <c r="C123" s="296" t="inlineStr">
        <is>
          <t>I hereby acknowledge that I have reviewed and understand the contents of this Performance Review form. I confirm I had the opportunity to discuss the evaluation with my manager. By signing below, I agree with the objectives stated above.</t>
        </is>
      </c>
      <c r="D123" s="324" t="n"/>
      <c r="E123" s="324" t="n"/>
      <c r="F123" s="324" t="n"/>
      <c r="G123" s="324" t="n"/>
      <c r="H123" s="324" t="n"/>
      <c r="I123" s="324" t="n"/>
      <c r="J123" s="324" t="n"/>
      <c r="K123" s="324" t="n"/>
      <c r="L123" s="324" t="n"/>
      <c r="M123" s="324" t="n"/>
      <c r="N123" s="324" t="n"/>
      <c r="O123" s="324" t="n"/>
      <c r="P123" s="324" t="n"/>
      <c r="Q123" s="83" t="n"/>
    </row>
    <row r="124" ht="15" customFormat="1" customHeight="1" s="82">
      <c r="B124" s="103" t="n"/>
      <c r="C124" s="144" t="n"/>
      <c r="D124" s="145" t="n"/>
      <c r="E124" s="138" t="n"/>
      <c r="F124" s="138" t="n"/>
      <c r="G124" s="139" t="n"/>
      <c r="H124" s="140" t="n"/>
      <c r="I124" s="140" t="n"/>
      <c r="J124" s="139" t="n"/>
      <c r="K124" s="140" t="n"/>
      <c r="N124" s="139" t="n"/>
      <c r="O124" s="140" t="n"/>
      <c r="Q124" s="83" t="n"/>
    </row>
    <row r="125" ht="15" customFormat="1" customHeight="1" s="82">
      <c r="B125" s="103" t="n"/>
      <c r="C125" s="146" t="inlineStr">
        <is>
          <t>Employee Signature:</t>
        </is>
      </c>
      <c r="D125" s="145" t="n"/>
      <c r="E125" s="19" t="n"/>
      <c r="F125" s="19" t="n"/>
      <c r="G125" s="20" t="n"/>
      <c r="H125" s="21" t="n"/>
      <c r="I125" s="147" t="inlineStr">
        <is>
          <t>Date:</t>
        </is>
      </c>
      <c r="J125" s="19" t="n"/>
      <c r="K125" s="19" t="n"/>
      <c r="L125" s="20" t="n"/>
      <c r="M125" s="21" t="n"/>
      <c r="N125" s="139" t="n"/>
      <c r="O125" s="140" t="n"/>
      <c r="Q125" s="83" t="n"/>
    </row>
    <row r="126" ht="15" customFormat="1" customHeight="1" s="82">
      <c r="B126" s="103" t="n"/>
      <c r="D126" s="145" t="n"/>
      <c r="E126" s="138" t="n"/>
      <c r="F126" s="138" t="n"/>
      <c r="G126" s="139" t="n"/>
      <c r="H126" s="140" t="n"/>
      <c r="I126" s="140" t="n"/>
      <c r="J126" s="139" t="n"/>
      <c r="K126" s="140" t="n"/>
      <c r="N126" s="139" t="n"/>
      <c r="O126" s="140" t="n"/>
      <c r="Q126" s="83" t="n"/>
    </row>
    <row r="127" ht="26.25" customFormat="1" customHeight="1" s="82">
      <c r="B127" s="103" t="n"/>
      <c r="C127" s="296" t="inlineStr">
        <is>
          <t>I confirm I have discussed the contents of this PPM form with the employee. I confirm the evaluations, comments and objectives herin, accurately reflect the employee's role and performance. I acknowledge my responsibility for fairness and accuracy of their performance appraisal.</t>
        </is>
      </c>
      <c r="D127" s="324" t="n"/>
      <c r="E127" s="324" t="n"/>
      <c r="F127" s="324" t="n"/>
      <c r="G127" s="324" t="n"/>
      <c r="H127" s="324" t="n"/>
      <c r="I127" s="324" t="n"/>
      <c r="J127" s="324" t="n"/>
      <c r="K127" s="324" t="n"/>
      <c r="L127" s="324" t="n"/>
      <c r="M127" s="324" t="n"/>
      <c r="N127" s="324" t="n"/>
      <c r="O127" s="324" t="n"/>
      <c r="P127" s="324" t="n"/>
      <c r="Q127" s="83" t="n"/>
    </row>
    <row r="128" ht="15" customFormat="1" customHeight="1" s="82">
      <c r="B128" s="103" t="n"/>
      <c r="C128" s="144" t="inlineStr">
        <is>
          <t>I confirm I have reviewed the employee's job description for accuracy and notified Human Resources of any changes.</t>
        </is>
      </c>
      <c r="D128" s="138" t="n"/>
      <c r="E128" s="138" t="n"/>
      <c r="F128" s="138" t="n"/>
      <c r="G128" s="139" t="n"/>
      <c r="H128" s="140" t="n"/>
      <c r="I128" s="140" t="n"/>
      <c r="J128" s="139" t="n"/>
      <c r="K128" s="140" t="n"/>
      <c r="N128" s="139" t="n"/>
      <c r="O128" s="140" t="n"/>
      <c r="Q128" s="83" t="n"/>
    </row>
    <row r="129" ht="15" customFormat="1" customHeight="1" s="82">
      <c r="B129" s="103" t="n"/>
      <c r="C129" s="144" t="inlineStr">
        <is>
          <t>I confirm the employee has not breached any Company or policies, to the best of my knowledge</t>
        </is>
      </c>
      <c r="D129" s="138" t="n"/>
      <c r="E129" s="138" t="n"/>
      <c r="F129" s="138" t="n"/>
      <c r="G129" s="139" t="n"/>
      <c r="H129" s="140" t="n"/>
      <c r="I129" s="140" t="n"/>
      <c r="J129" s="139" t="n"/>
      <c r="K129" s="140" t="n"/>
      <c r="N129" s="139" t="n"/>
      <c r="O129" s="140" t="n"/>
      <c r="Q129" s="83" t="n"/>
    </row>
    <row r="130" ht="15" customFormat="1" customHeight="1" s="82">
      <c r="B130" s="103" t="n"/>
      <c r="C130" s="144" t="n"/>
      <c r="D130" s="138" t="n"/>
      <c r="E130" s="138" t="n"/>
      <c r="F130" s="138" t="n"/>
      <c r="G130" s="139" t="n"/>
      <c r="H130" s="140" t="n"/>
      <c r="I130" s="140" t="n"/>
      <c r="J130" s="139" t="n"/>
      <c r="K130" s="140" t="n"/>
      <c r="N130" s="139" t="n"/>
      <c r="O130" s="140" t="n"/>
      <c r="Q130" s="83" t="n"/>
    </row>
    <row r="131" ht="15" customFormat="1" customHeight="1" s="82">
      <c r="B131" s="103" t="n"/>
      <c r="C131" s="148" t="inlineStr">
        <is>
          <t>Line Manager Signature:</t>
        </is>
      </c>
      <c r="D131" s="138" t="n"/>
      <c r="E131" s="19" t="n"/>
      <c r="F131" s="19" t="n"/>
      <c r="G131" s="20" t="n"/>
      <c r="H131" s="21" t="n"/>
      <c r="I131" s="147" t="inlineStr">
        <is>
          <t>Date:</t>
        </is>
      </c>
      <c r="J131" s="19" t="n"/>
      <c r="K131" s="19" t="n"/>
      <c r="L131" s="20" t="n"/>
      <c r="M131" s="21" t="n"/>
      <c r="N131" s="139" t="n"/>
      <c r="O131" s="140" t="n"/>
      <c r="Q131" s="83" t="n"/>
    </row>
    <row r="132" ht="9.75" customHeight="1">
      <c r="B132" s="149" t="n"/>
      <c r="C132" s="150" t="n"/>
      <c r="D132" s="150" t="n"/>
      <c r="E132" s="150" t="n"/>
      <c r="F132" s="150" t="n"/>
      <c r="G132" s="150" t="n"/>
      <c r="H132" s="150" t="n"/>
      <c r="I132" s="151" t="n"/>
      <c r="J132" s="152" t="n"/>
      <c r="K132" s="152" t="n"/>
      <c r="L132" s="153" t="n"/>
      <c r="M132" s="154" t="n"/>
      <c r="N132" s="150" t="n"/>
      <c r="O132" s="150" t="n"/>
      <c r="P132" s="150" t="n"/>
      <c r="Q132" s="155" t="n"/>
    </row>
  </sheetData>
  <mergeCells count="133">
    <mergeCell ref="M77:P81"/>
    <mergeCell ref="C30:P30"/>
    <mergeCell ref="G67:K67"/>
    <mergeCell ref="D75:F75"/>
    <mergeCell ref="H76:K76"/>
    <mergeCell ref="J11:L11"/>
    <mergeCell ref="M96:P96"/>
    <mergeCell ref="H82:K82"/>
    <mergeCell ref="L5:M5"/>
    <mergeCell ref="D92:F92"/>
    <mergeCell ref="M111:P111"/>
    <mergeCell ref="H71:K75"/>
    <mergeCell ref="H52:I52"/>
    <mergeCell ref="M103:P107"/>
    <mergeCell ref="M97:P101"/>
    <mergeCell ref="K52:L52"/>
    <mergeCell ref="E8:H8"/>
    <mergeCell ref="C21:P21"/>
    <mergeCell ref="D94:F94"/>
    <mergeCell ref="M70:P70"/>
    <mergeCell ref="M82:P82"/>
    <mergeCell ref="C123:P123"/>
    <mergeCell ref="C17:D17"/>
    <mergeCell ref="C23:P23"/>
    <mergeCell ref="H89:K89"/>
    <mergeCell ref="H108:K108"/>
    <mergeCell ref="D80:F80"/>
    <mergeCell ref="D105:F105"/>
    <mergeCell ref="L7:M7"/>
    <mergeCell ref="H96:K96"/>
    <mergeCell ref="C34:P34"/>
    <mergeCell ref="M90:P94"/>
    <mergeCell ref="D107:F107"/>
    <mergeCell ref="C5:D5"/>
    <mergeCell ref="D91:F91"/>
    <mergeCell ref="C4:D4"/>
    <mergeCell ref="C111:F111"/>
    <mergeCell ref="H56:I56"/>
    <mergeCell ref="I13:I15"/>
    <mergeCell ref="D106:F106"/>
    <mergeCell ref="C20:P20"/>
    <mergeCell ref="D93:F93"/>
    <mergeCell ref="C29:P29"/>
    <mergeCell ref="H49:I49"/>
    <mergeCell ref="D74:F74"/>
    <mergeCell ref="J43:L43"/>
    <mergeCell ref="E5:H5"/>
    <mergeCell ref="C22:P22"/>
    <mergeCell ref="C127:P127"/>
    <mergeCell ref="H69:I69"/>
    <mergeCell ref="C31:P31"/>
    <mergeCell ref="H102:K102"/>
    <mergeCell ref="C114:P114"/>
    <mergeCell ref="D85:F85"/>
    <mergeCell ref="H83:K83"/>
    <mergeCell ref="D100:F100"/>
    <mergeCell ref="G43:I43"/>
    <mergeCell ref="C82:D82"/>
    <mergeCell ref="L6:M6"/>
    <mergeCell ref="H48:I48"/>
    <mergeCell ref="C32:P32"/>
    <mergeCell ref="H109:K109"/>
    <mergeCell ref="D86:F86"/>
    <mergeCell ref="D104:F104"/>
    <mergeCell ref="H111:K111"/>
    <mergeCell ref="L67:P67"/>
    <mergeCell ref="C58:D58"/>
    <mergeCell ref="C24:P24"/>
    <mergeCell ref="D97:F97"/>
    <mergeCell ref="C33:P33"/>
    <mergeCell ref="H13:H15"/>
    <mergeCell ref="D78:F78"/>
    <mergeCell ref="D87:F87"/>
    <mergeCell ref="C26:P26"/>
    <mergeCell ref="M69:N69"/>
    <mergeCell ref="E11:G11"/>
    <mergeCell ref="M102:P102"/>
    <mergeCell ref="D71:F71"/>
    <mergeCell ref="K47:L47"/>
    <mergeCell ref="M68:P68"/>
    <mergeCell ref="M83:P83"/>
    <mergeCell ref="C68:F68"/>
    <mergeCell ref="C25:P25"/>
    <mergeCell ref="C108:F108"/>
    <mergeCell ref="K46:L46"/>
    <mergeCell ref="D73:F73"/>
    <mergeCell ref="C118:P118"/>
    <mergeCell ref="H97:K101"/>
    <mergeCell ref="C95:D95"/>
    <mergeCell ref="H68:K68"/>
    <mergeCell ref="M109:P109"/>
    <mergeCell ref="C109:F109"/>
    <mergeCell ref="D99:F99"/>
    <mergeCell ref="H110:K110"/>
    <mergeCell ref="D84:F84"/>
    <mergeCell ref="E6:H6"/>
    <mergeCell ref="D13:D15"/>
    <mergeCell ref="M95:P95"/>
    <mergeCell ref="D101:F101"/>
    <mergeCell ref="C37:P37"/>
    <mergeCell ref="M89:P89"/>
    <mergeCell ref="C60:F60"/>
    <mergeCell ref="D77:F77"/>
    <mergeCell ref="H84:K88"/>
    <mergeCell ref="E7:H7"/>
    <mergeCell ref="H90:K94"/>
    <mergeCell ref="M76:P76"/>
    <mergeCell ref="H95:K95"/>
    <mergeCell ref="H77:K81"/>
    <mergeCell ref="D103:F103"/>
    <mergeCell ref="D72:F72"/>
    <mergeCell ref="H46:I46"/>
    <mergeCell ref="M71:P75"/>
    <mergeCell ref="H51:I51"/>
    <mergeCell ref="J12:L12"/>
    <mergeCell ref="O69:P69"/>
    <mergeCell ref="D98:F98"/>
    <mergeCell ref="M110:P110"/>
    <mergeCell ref="D79:F79"/>
    <mergeCell ref="D88:F88"/>
    <mergeCell ref="C27:P27"/>
    <mergeCell ref="H103:K107"/>
    <mergeCell ref="H47:I47"/>
    <mergeCell ref="C36:P36"/>
    <mergeCell ref="K48:L48"/>
    <mergeCell ref="M108:P108"/>
    <mergeCell ref="D81:F81"/>
    <mergeCell ref="D90:F90"/>
    <mergeCell ref="E9:H9"/>
    <mergeCell ref="H70:K70"/>
    <mergeCell ref="M84:P88"/>
    <mergeCell ref="C59:F59"/>
    <mergeCell ref="C19:P19"/>
  </mergeCells>
  <conditionalFormatting sqref="A43:B56 B57:B60">
    <cfRule type="containsText" priority="7" operator="containsText" dxfId="6" text="J">
      <formula>NOT(ISERROR(SEARCH("J",A43)))</formula>
    </cfRule>
  </conditionalFormatting>
  <conditionalFormatting sqref="C60">
    <cfRule type="expression" priority="4" dxfId="5">
      <formula>($F$59&lt;&gt;100%)</formula>
    </cfRule>
  </conditionalFormatting>
  <conditionalFormatting sqref="E69:F69 E82 E95">
    <cfRule type="cellIs" priority="12" operator="greaterThan" dxfId="4" stopIfTrue="1">
      <formula>3</formula>
    </cfRule>
  </conditionalFormatting>
  <conditionalFormatting sqref="E13:G15">
    <cfRule type="cellIs" priority="9" operator="equal" dxfId="3">
      <formula>VALUE($G$111)</formula>
    </cfRule>
  </conditionalFormatting>
  <conditionalFormatting sqref="F58">
    <cfRule type="cellIs" priority="3" operator="notEqual" dxfId="2">
      <formula>1</formula>
    </cfRule>
  </conditionalFormatting>
  <conditionalFormatting sqref="J13:L15">
    <cfRule type="cellIs" priority="2" operator="equal" dxfId="1">
      <formula>$G$111</formula>
    </cfRule>
    <cfRule type="cellIs" priority="8" operator="equal" dxfId="0">
      <formula>VALUE($L$111)</formula>
    </cfRule>
  </conditionalFormatting>
  <dataValidations count="3">
    <dataValidation sqref="L82 L95" showDropDown="0" showInputMessage="1" showErrorMessage="1" allowBlank="1" type="list">
      <formula1>$P$2:$P$6</formula1>
    </dataValidation>
    <dataValidation sqref="G112:G113 G115:G117 G119:G122 G124:G126 G128:G131 J112:J113 J115 J117 J119 J121:J122 J124 J126 J128:J130 L116 L120 L125 L131:L132 N112:N113 N115:N117 N119:N122 N124:N126 N128:N131" showDropDown="0" showInputMessage="1" showErrorMessage="1" allowBlank="1" type="list">
      <formula1>$O$2:$O$2</formula1>
    </dataValidation>
    <dataValidation sqref="G46:G56 J46:J56" showDropDown="0" showInputMessage="1" showErrorMessage="1" allowBlank="1" errorTitle="Onjuiste waarde" error="Selecteer een 1, 2 of 3 als score" type="list">
      <formula1>ScoreWatAs</formula1>
    </dataValidation>
  </dataValidations>
  <pageMargins left="0.7" right="0.7" top="0.75" bottom="0.75" header="0.3" footer="0.3"/>
  <pageSetup orientation="portrait" paperSize="9"/>
</worksheet>
</file>

<file path=xl/worksheets/sheet2.xml><?xml version="1.0" encoding="utf-8"?>
<worksheet xmlns="http://schemas.openxmlformats.org/spreadsheetml/2006/main">
  <sheetPr codeName="Blad5">
    <outlinePr summaryBelow="1" summaryRight="1"/>
    <pageSetUpPr/>
  </sheetPr>
  <dimension ref="A1:D41"/>
  <sheetViews>
    <sheetView topLeftCell="A5" workbookViewId="0">
      <selection activeCell="A2" sqref="A2"/>
    </sheetView>
  </sheetViews>
  <sheetFormatPr baseColWidth="8" defaultRowHeight="14.5"/>
  <cols>
    <col width="32.54296875" bestFit="1" customWidth="1" min="1" max="1"/>
    <col width="42.453125" bestFit="1" customWidth="1" min="2" max="2"/>
    <col width="34.54296875" bestFit="1" customWidth="1" min="4" max="4"/>
  </cols>
  <sheetData>
    <row r="1">
      <c r="A1" t="inlineStr">
        <is>
          <t>WAT</t>
        </is>
      </c>
      <c r="B1" t="inlineStr">
        <is>
          <t>HOE</t>
        </is>
      </c>
      <c r="C1" t="inlineStr">
        <is>
          <t>Score</t>
        </is>
      </c>
      <c r="D1" t="inlineStr">
        <is>
          <t>beschrijving</t>
        </is>
      </c>
    </row>
    <row r="2">
      <c r="A2" t="inlineStr">
        <is>
          <t>Verwachtingen overtroffen</t>
        </is>
      </c>
      <c r="B2" t="inlineStr">
        <is>
          <t>voldoet over het algeheel niet aan de verwachting</t>
        </is>
      </c>
      <c r="C2" t="n">
        <v>1.1</v>
      </c>
      <c r="D2" t="inlineStr">
        <is>
          <t>Matige resultaten, ongewenst gedrag</t>
        </is>
      </c>
    </row>
    <row r="3">
      <c r="B3" t="inlineStr">
        <is>
          <t>voldoet over het algeheel  aan de verwachting</t>
        </is>
      </c>
      <c r="C3" t="n">
        <v>1.2</v>
      </c>
      <c r="D3" t="inlineStr">
        <is>
          <t>Matige resultaten, goed gedrag</t>
        </is>
      </c>
    </row>
    <row r="4">
      <c r="B4" t="inlineStr">
        <is>
          <t>Overtreft het algeheel aan de verwachting</t>
        </is>
      </c>
      <c r="C4" t="n">
        <v>1.3</v>
      </c>
      <c r="D4" t="inlineStr">
        <is>
          <t>Matige resultaten, rolmodel gedrag</t>
        </is>
      </c>
    </row>
    <row r="5">
      <c r="A5" t="inlineStr">
        <is>
          <t>Voldoet aan de verwachtingen</t>
        </is>
      </c>
      <c r="B5" t="inlineStr">
        <is>
          <t>voldoet over het algeheel niet aan de verwachting</t>
        </is>
      </c>
      <c r="C5" t="n">
        <v>2.1</v>
      </c>
      <c r="D5" t="inlineStr">
        <is>
          <t>Goede resultaten, ongewenst gedrag</t>
        </is>
      </c>
    </row>
    <row r="6">
      <c r="B6" t="inlineStr">
        <is>
          <t>voldoet over het algeheel  aan de verwachting</t>
        </is>
      </c>
      <c r="C6" t="n">
        <v>2.2</v>
      </c>
      <c r="D6" t="inlineStr">
        <is>
          <t>Goede resultaten, goed gedrag</t>
        </is>
      </c>
    </row>
    <row r="7">
      <c r="B7" t="inlineStr">
        <is>
          <t>Overtreft het algeheel aan de verwachting</t>
        </is>
      </c>
      <c r="C7" t="n">
        <v>2.3</v>
      </c>
      <c r="D7" t="inlineStr">
        <is>
          <t>Goede resultaten, rolmodel gedrag</t>
        </is>
      </c>
    </row>
    <row r="8">
      <c r="A8" t="inlineStr">
        <is>
          <t>Voldoet onvolledig aan verwachtingen</t>
        </is>
      </c>
      <c r="B8" t="inlineStr">
        <is>
          <t>voldoet over het algeheel niet aan de verwachting</t>
        </is>
      </c>
      <c r="C8" t="n">
        <v>3.1</v>
      </c>
      <c r="D8" t="inlineStr">
        <is>
          <t>Superieure resultaten, ongewenst gedrag</t>
        </is>
      </c>
    </row>
    <row r="9">
      <c r="B9" t="inlineStr">
        <is>
          <t>voldoet over het algeheel  aan de verwachting</t>
        </is>
      </c>
      <c r="C9" t="n">
        <v>3.2</v>
      </c>
      <c r="D9" t="inlineStr">
        <is>
          <t>Superieure resultaten, goed gedrag</t>
        </is>
      </c>
    </row>
    <row r="10">
      <c r="B10" t="inlineStr">
        <is>
          <t>Overtreft het algeheel aan de verwachting</t>
        </is>
      </c>
      <c r="C10" t="n">
        <v>3.3</v>
      </c>
      <c r="D10" t="inlineStr">
        <is>
          <t>Superieure resultaten, rolmodel gedrag</t>
        </is>
      </c>
    </row>
    <row r="12">
      <c r="A12" t="inlineStr">
        <is>
          <t>Score Hoe as</t>
        </is>
      </c>
      <c r="D12" t="inlineStr">
        <is>
          <t>Inschatting te bereiken in x-jaren</t>
        </is>
      </c>
    </row>
    <row r="13">
      <c r="A13" t="n">
        <v>1</v>
      </c>
      <c r="B13" t="inlineStr">
        <is>
          <t>Onvoldoende</t>
        </is>
      </c>
    </row>
    <row r="14" ht="15" customHeight="1">
      <c r="A14" t="n">
        <v>2</v>
      </c>
      <c r="B14" t="inlineStr">
        <is>
          <t>Voldoende</t>
        </is>
      </c>
      <c r="D14" t="inlineStr">
        <is>
          <t>over 2 jaar geschikt voor deze functie</t>
        </is>
      </c>
    </row>
    <row r="15">
      <c r="A15" t="n">
        <v>3</v>
      </c>
      <c r="B15" t="inlineStr">
        <is>
          <t>Goed</t>
        </is>
      </c>
      <c r="D15" t="inlineStr">
        <is>
          <t>over 5 jaar geschikt voor deze functie</t>
        </is>
      </c>
    </row>
    <row r="17">
      <c r="A17" t="inlineStr">
        <is>
          <t>ScoreWatAs</t>
        </is>
      </c>
    </row>
    <row r="18">
      <c r="A18" t="n">
        <v>0</v>
      </c>
      <c r="B18" t="inlineStr">
        <is>
          <t>Default</t>
        </is>
      </c>
    </row>
    <row r="19">
      <c r="A19" t="n">
        <v>1</v>
      </c>
      <c r="B19" t="inlineStr">
        <is>
          <t>Onvoldoende</t>
        </is>
      </c>
    </row>
    <row r="20">
      <c r="A20" t="n">
        <v>2</v>
      </c>
      <c r="B20" t="inlineStr">
        <is>
          <t>Voldoende</t>
        </is>
      </c>
    </row>
    <row r="21">
      <c r="A21" t="n">
        <v>3</v>
      </c>
      <c r="B21" t="inlineStr">
        <is>
          <t>Goed</t>
        </is>
      </c>
    </row>
    <row r="23">
      <c r="A23" t="inlineStr">
        <is>
          <t>Toekomstig potentieel</t>
        </is>
      </c>
    </row>
    <row r="24">
      <c r="A24" t="inlineStr">
        <is>
          <t>Beperkt</t>
        </is>
      </c>
      <c r="B24" s="1" t="n">
        <v>1</v>
      </c>
    </row>
    <row r="25">
      <c r="A25" t="inlineStr">
        <is>
          <t>Gemiddeld</t>
        </is>
      </c>
      <c r="B25" s="1" t="n">
        <v>2</v>
      </c>
    </row>
    <row r="26">
      <c r="A26" t="inlineStr">
        <is>
          <t>Hoog</t>
        </is>
      </c>
      <c r="B26" s="1" t="n">
        <v>3</v>
      </c>
    </row>
    <row r="28">
      <c r="A28" t="inlineStr">
        <is>
          <t>Talent matrix</t>
        </is>
      </c>
      <c r="C28" t="inlineStr">
        <is>
          <t>tekst</t>
        </is>
      </c>
    </row>
    <row r="29">
      <c r="A29" s="2" t="n">
        <v>1.1</v>
      </c>
      <c r="B29" t="inlineStr">
        <is>
          <t>Zwak</t>
        </is>
      </c>
      <c r="C29" t="inlineStr">
        <is>
          <t>Geef in Tabblad "Ontwikkelplan" aan hoe je je huidige prestaties op korte termijn gaat verbeteren</t>
        </is>
      </c>
    </row>
    <row r="30">
      <c r="A30" s="2" t="n">
        <v>1.2</v>
      </c>
      <c r="B30" t="inlineStr">
        <is>
          <t>Pilaar</t>
        </is>
      </c>
      <c r="C30" t="inlineStr">
        <is>
          <t>Geef in Tabblad "Ontwikkelplan" aan hoe je je doelen gaat bereiken</t>
        </is>
      </c>
    </row>
    <row r="31">
      <c r="A31" s="2" t="n">
        <v>1.3</v>
      </c>
      <c r="B31" t="inlineStr">
        <is>
          <t>Solide professional</t>
        </is>
      </c>
      <c r="C31" t="inlineStr">
        <is>
          <t>Geef in Tabblad "Ontwikkelplan" aan hoe je je doelen gaat bereiken</t>
        </is>
      </c>
    </row>
    <row r="32">
      <c r="A32" s="2" t="n">
        <v>2.1</v>
      </c>
      <c r="B32" t="inlineStr">
        <is>
          <t>Onderpresteerder</t>
        </is>
      </c>
      <c r="C32" t="inlineStr">
        <is>
          <t>Geef in Tabblad "Ontwikkelplan" aan hoe je je huidige prestaties op korte termijn gaat verbeteren</t>
        </is>
      </c>
    </row>
    <row r="33">
      <c r="A33" s="2" t="n">
        <v>2.2</v>
      </c>
      <c r="B33" t="inlineStr">
        <is>
          <t>Solide professional</t>
        </is>
      </c>
      <c r="C33" t="inlineStr">
        <is>
          <t>Geef in Tabblad "Ontwikkelplan" aan hoe je je doelen gaat bereiken</t>
        </is>
      </c>
    </row>
    <row r="34">
      <c r="A34" s="2" t="n">
        <v>2.3</v>
      </c>
      <c r="B34" t="inlineStr">
        <is>
          <t>Goede presteerder</t>
        </is>
      </c>
      <c r="C34" t="inlineStr">
        <is>
          <t>Geef in Tabblad "Ontwikkelplan" aan hoe je je doelen gaat bereiken</t>
        </is>
      </c>
    </row>
    <row r="35">
      <c r="A35" s="2" t="n">
        <v>3.1</v>
      </c>
      <c r="B35" t="inlineStr">
        <is>
          <t>Onderpresteerder</t>
        </is>
      </c>
      <c r="C35" t="inlineStr">
        <is>
          <t>Geef in Tabblad "Ontwikkelplan" aan hoe je je huidige prestaties op korte termijn gaat verbeteren</t>
        </is>
      </c>
    </row>
    <row r="36">
      <c r="A36" s="2" t="n">
        <v>3.2</v>
      </c>
      <c r="B36" t="inlineStr">
        <is>
          <t>Hoog potentieel</t>
        </is>
      </c>
      <c r="C36" t="inlineStr">
        <is>
          <t>Geef in Tabblad "Ontwikkelplan" aan hoe je je doelen gaat bereiken</t>
        </is>
      </c>
    </row>
    <row r="37">
      <c r="A37" s="2" t="n">
        <v>3.3</v>
      </c>
      <c r="B37" t="inlineStr">
        <is>
          <t>Sleuteltalent</t>
        </is>
      </c>
      <c r="C37" t="inlineStr">
        <is>
          <t>Geef in Tabblad "Ontwikkelplan" aan hoe je je doelen gaat bereiken</t>
        </is>
      </c>
    </row>
    <row r="39">
      <c r="A39" t="inlineStr">
        <is>
          <t>Kwalificatie</t>
        </is>
      </c>
      <c r="B39" t="inlineStr">
        <is>
          <t>Junior</t>
        </is>
      </c>
    </row>
    <row r="40">
      <c r="B40" t="inlineStr">
        <is>
          <t>Gekwalificeerd</t>
        </is>
      </c>
    </row>
    <row r="41">
      <c r="B41" t="inlineStr">
        <is>
          <t>Senior</t>
        </is>
      </c>
    </row>
  </sheetData>
  <sheetProtection selectLockedCells="1" selectUnlockedCells="0" algorithmName="SHA-512" sheet="1" objects="0" insertRows="1" insertHyperlinks="1" autoFilter="1" scenarios="0" formatColumns="1" deleteColumns="1" insertColumns="1" pivotTables="1" deleteRows="1" formatCells="1" saltValue="+gTbkOkhN6zE3+ovyMeuyA==" formatRows="1" sort="1" spinCount="100000" hashValue="hD3LXIpMgm94TtSCn7f1F0WqylGmOSL1gfcx1u8trX7DzwvXM6s66EEt0GEpY2sGvH1uqiYrJCjmE9uzwWGOng=="/>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Windows User</dc:creator>
  <dcterms:created xmlns:dcterms="http://purl.org/dc/terms/" xmlns:xsi="http://www.w3.org/2001/XMLSchema-instance" xsi:type="dcterms:W3CDTF">2012-12-05T15:15:04Z</dcterms:created>
  <dcterms:modified xmlns:dcterms="http://purl.org/dc/terms/" xmlns:xsi="http://www.w3.org/2001/XMLSchema-instance" xsi:type="dcterms:W3CDTF">2025-12-12T18:38:02Z</dcterms:modified>
  <cp:lastModifiedBy>Graciela van der Stroom</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0x010100AA3C327CD1EF104C8B838611ECBCC6FC</vt:lpwstr>
  </property>
  <property name="MediaServiceImageTags" fmtid="{D5CDD505-2E9C-101B-9397-08002B2CF9AE}" pid="3">
    <vt:lpwstr xmlns:vt="http://schemas.openxmlformats.org/officeDocument/2006/docPropsVTypes"/>
  </property>
</Properties>
</file>